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BRUTA" sheetId="1" r:id="rId5"/>
    <sheet state="visible" name="CONTATOS NOVOS" sheetId="2" r:id="rId6"/>
  </sheets>
  <definedNames/>
  <calcPr/>
</workbook>
</file>

<file path=xl/sharedStrings.xml><?xml version="1.0" encoding="utf-8"?>
<sst xmlns="http://schemas.openxmlformats.org/spreadsheetml/2006/main" count="956" uniqueCount="333">
  <si>
    <t>LISTA GERAL DE EMPRESAS - IMPORTADA</t>
  </si>
  <si>
    <t>dados</t>
  </si>
  <si>
    <t>info</t>
  </si>
  <si>
    <t>extra</t>
  </si>
  <si>
    <t>obs</t>
  </si>
  <si>
    <t>ByteWave 87999926806 22/08/2025</t>
  </si>
  <si>
    <t>comprou em março</t>
  </si>
  <si>
    <t>Marketing</t>
  </si>
  <si>
    <t>OK</t>
  </si>
  <si>
    <t>Loja Central - Fernanda - 36 8743-3542</t>
  </si>
  <si>
    <t>Fernanda</t>
  </si>
  <si>
    <t>Global Trade - Carlos - 54999919496</t>
  </si>
  <si>
    <t>data 08/12/2025</t>
  </si>
  <si>
    <t>RH</t>
  </si>
  <si>
    <t>COPIAR DEPOIS</t>
  </si>
  <si>
    <t>72 4549-1011 falar com Ana</t>
  </si>
  <si>
    <t>sem email</t>
  </si>
  <si>
    <t>IMPORTANTE</t>
  </si>
  <si>
    <t>ByteWave 81999992443 17/12/2025</t>
  </si>
  <si>
    <t>Ricardo</t>
  </si>
  <si>
    <t>Construtora Horizonte 89 5319-2085 2026/03/15</t>
  </si>
  <si>
    <t>data 2026/03/15</t>
  </si>
  <si>
    <t>Maria</t>
  </si>
  <si>
    <t>ByteWave - Carlos - (70) 97116-9810</t>
  </si>
  <si>
    <t>cliente ativo</t>
  </si>
  <si>
    <t>92999936897 falar com Maria</t>
  </si>
  <si>
    <t>retorno terça</t>
  </si>
  <si>
    <t>maria@gmail.com</t>
  </si>
  <si>
    <t>Atacado Rio - Ana - 52999988017</t>
  </si>
  <si>
    <t>mandar proposta</t>
  </si>
  <si>
    <t>Ana</t>
  </si>
  <si>
    <t>Comercial Souza / contato@comercialsouza.com.br / TI</t>
  </si>
  <si>
    <t>data 15-11-25</t>
  </si>
  <si>
    <t>(31) 99899-8462</t>
  </si>
  <si>
    <t>Digital Plus - Maria - 15999940543</t>
  </si>
  <si>
    <t>TechNova (35) 97186-2400 16/01/2026</t>
  </si>
  <si>
    <t>sem resposta</t>
  </si>
  <si>
    <t>Patrícia</t>
  </si>
  <si>
    <t>Comercial Souza 63999970280 18-10-25</t>
  </si>
  <si>
    <t>data 18-10-25</t>
  </si>
  <si>
    <t>63999970280</t>
  </si>
  <si>
    <t>Casa do Café - cliente ativo</t>
  </si>
  <si>
    <t>verificar</t>
  </si>
  <si>
    <t>(17) 97424-2352 falar com Fernanda</t>
  </si>
  <si>
    <t>data 01-10-25</t>
  </si>
  <si>
    <t>(17) 97424-2352</t>
  </si>
  <si>
    <t>Global Trade 69 9597-1642 2026/04/09</t>
  </si>
  <si>
    <t>VisionTech 35 3081-4407 01-10-25</t>
  </si>
  <si>
    <t>Alpha Serviços - cliente ativo</t>
  </si>
  <si>
    <t>Construtora Horizonte 95 5652-1745 08-09-25</t>
  </si>
  <si>
    <t>cliente VIP</t>
  </si>
  <si>
    <t>95 5652-1745</t>
  </si>
  <si>
    <t>93999920468 falar com Fernanda</t>
  </si>
  <si>
    <t>telefone errado</t>
  </si>
  <si>
    <t>91 5707-2388 falar com Carlos</t>
  </si>
  <si>
    <t>Carlos</t>
  </si>
  <si>
    <t>ByteWave 94999938834 18-12-25</t>
  </si>
  <si>
    <t>Atacado Rio - Patrícia - 55999966288</t>
  </si>
  <si>
    <t>55999966288</t>
  </si>
  <si>
    <t>(84) 99746-9744 falar com Carlos</t>
  </si>
  <si>
    <t>carlos@gmail.com</t>
  </si>
  <si>
    <t>VisionTech - Maria - 75 5224-4273</t>
  </si>
  <si>
    <t>data 29/07/2025</t>
  </si>
  <si>
    <t>Alpha Serviços - Maria - 62999967871</t>
  </si>
  <si>
    <t>34 6583-8424 falar com Paulo</t>
  </si>
  <si>
    <t>ok</t>
  </si>
  <si>
    <t>TI</t>
  </si>
  <si>
    <t>VisionTech - cliente ativo</t>
  </si>
  <si>
    <t>Studio Mix - cliente ativo</t>
  </si>
  <si>
    <t>68 6451-9022</t>
  </si>
  <si>
    <t>Construtora Horizonte / maria@gmail.com / Marketing</t>
  </si>
  <si>
    <t>urgente</t>
  </si>
  <si>
    <t>Comercial Souza - Camila - 91 3707-8956</t>
  </si>
  <si>
    <t>(35) 99533-1246 falar com Patrícia</t>
  </si>
  <si>
    <t>(19) 98907-4550 falar com Ricardo</t>
  </si>
  <si>
    <t>data 10-08-25</t>
  </si>
  <si>
    <t>91999938736</t>
  </si>
  <si>
    <t>Global Trade / maria@gmail.com / Financeiro</t>
  </si>
  <si>
    <t>ligar depois</t>
  </si>
  <si>
    <t>Financeiro</t>
  </si>
  <si>
    <t>Global Trade - Ricardo - (78) 93493-9695</t>
  </si>
  <si>
    <t>data 24-04-26</t>
  </si>
  <si>
    <t>ricardo@gmail.com</t>
  </si>
  <si>
    <t>Alpha Serviços - Maria - 21999942852</t>
  </si>
  <si>
    <t>28999955859 falar com João</t>
  </si>
  <si>
    <t>Construtora Horizonte - Ana - 98999999855</t>
  </si>
  <si>
    <t>Compras</t>
  </si>
  <si>
    <t>ByteWave / contato@bytewave.com.br / Financeiro</t>
  </si>
  <si>
    <t>44 4944-6783 falar com Ricardo</t>
  </si>
  <si>
    <t>data 30-04-26</t>
  </si>
  <si>
    <t>44 4944-6783</t>
  </si>
  <si>
    <t>Alpha Serviços / contato@alphaserviços.com.br / Financeiro</t>
  </si>
  <si>
    <t>aguardando retorno</t>
  </si>
  <si>
    <t>contato@alphaserviços.com.br</t>
  </si>
  <si>
    <t>Loja Central - cliente ativo</t>
  </si>
  <si>
    <t>Global Trade 30 8070-9249 04-12-25</t>
  </si>
  <si>
    <t>Digital Plus / sem email / RH</t>
  </si>
  <si>
    <t>data 2025/07/29</t>
  </si>
  <si>
    <t>Camila</t>
  </si>
  <si>
    <t>Comercial Souza 90 9389-3202 13-03-26</t>
  </si>
  <si>
    <t>Mercado Ideal - cliente ativo</t>
  </si>
  <si>
    <t>data 09-12-25</t>
  </si>
  <si>
    <t>Alpha Serviços - Carlos - 81999923293</t>
  </si>
  <si>
    <t>Global Trade - cliente ativo</t>
  </si>
  <si>
    <t>data 2026/03/31</t>
  </si>
  <si>
    <t>71 9685-6558</t>
  </si>
  <si>
    <t>Casa do Café (15) 98147-4689 17/11/2025</t>
  </si>
  <si>
    <t>Mercado Ideal - Maria - (61) 99577-5822</t>
  </si>
  <si>
    <t>Comercial Souza - cliente ativo</t>
  </si>
  <si>
    <t>Mercado Ideal - Ricardo - 65999956581</t>
  </si>
  <si>
    <t>Alpha Serviços - Patrícia - 20999949861</t>
  </si>
  <si>
    <t>60999981294 falar com Ricardo</t>
  </si>
  <si>
    <t>VisionTech 61999926166 28-04-26</t>
  </si>
  <si>
    <t>data 28-04-26</t>
  </si>
  <si>
    <t>61999926166</t>
  </si>
  <si>
    <t>(20) 95813-5832 falar com João</t>
  </si>
  <si>
    <t>joão@gmail.com</t>
  </si>
  <si>
    <t>Loja Central / contato@lojacentral.com.br / TI</t>
  </si>
  <si>
    <t>TechNova - cliente ativo</t>
  </si>
  <si>
    <t>Mercado Ideal / ana@gmail.com / Financeiro</t>
  </si>
  <si>
    <t>Construtora Horizonte / fernanda@gmail.com / TI</t>
  </si>
  <si>
    <t>TechNova / maria@gmail.com / Compras</t>
  </si>
  <si>
    <t>Construtora Horizonte 42 6612-7850 2025/12/18</t>
  </si>
  <si>
    <t>contato@construtorahorizonte.com.br</t>
  </si>
  <si>
    <t>Comercial Souza 64 9173-1281 21/01/2026</t>
  </si>
  <si>
    <t>25999925393 falar com Maria</t>
  </si>
  <si>
    <t>Digital Plus 31999961137 28/01/2026</t>
  </si>
  <si>
    <t>31999961137</t>
  </si>
  <si>
    <t>Comercial Souza / contato@comercialsouza.com.br / RH</t>
  </si>
  <si>
    <t>data 26/11/2025</t>
  </si>
  <si>
    <t>contato@comercialsouza.com.br</t>
  </si>
  <si>
    <t>(90) 95214-8153 falar com João</t>
  </si>
  <si>
    <t>(90) 95214-8153</t>
  </si>
  <si>
    <t>Atacado Rio - Carlos - 41999910014</t>
  </si>
  <si>
    <t>contato@atacadorio.com.br</t>
  </si>
  <si>
    <t>Digital Plus 38 6812-9322 28-01-26</t>
  </si>
  <si>
    <t>data 28-01-26</t>
  </si>
  <si>
    <t>38 6812-9322</t>
  </si>
  <si>
    <t>VisionTech - Carlos - 33 9102-2231</t>
  </si>
  <si>
    <t>33 9102-2231</t>
  </si>
  <si>
    <t>Studio Mix - Maria - (95) 91008-4761</t>
  </si>
  <si>
    <t>fechado</t>
  </si>
  <si>
    <t>Studio Mix / contato@studiomix.com.br / Financeiro</t>
  </si>
  <si>
    <t>contato@studiomix.com.br</t>
  </si>
  <si>
    <t>40 7179-2942 falar com Ricardo</t>
  </si>
  <si>
    <t>Digital Plus 63 7980-5153 14-10-25</t>
  </si>
  <si>
    <t>patrícia@gmail.com</t>
  </si>
  <si>
    <t>Construtora Horizonte - cliente ativo</t>
  </si>
  <si>
    <t>26999918741</t>
  </si>
  <si>
    <t>Atacado Rio / sem email / Compras</t>
  </si>
  <si>
    <t>Digital Plus - Ana - 39999926684</t>
  </si>
  <si>
    <t>Atacado Rio - cliente ativo</t>
  </si>
  <si>
    <t>Mercado Ideal / sem email / RH</t>
  </si>
  <si>
    <t>44999923522 falar com Paulo</t>
  </si>
  <si>
    <t>44999923522</t>
  </si>
  <si>
    <t>Loja Central - Paulo - 56 5734-8140</t>
  </si>
  <si>
    <t>Mercado Ideal - Patrícia - 48999978402</t>
  </si>
  <si>
    <t>16 6680-9656 falar com Camila</t>
  </si>
  <si>
    <t>16 6680-9656</t>
  </si>
  <si>
    <t>Mercado Ideal - Maria - 87999921683</t>
  </si>
  <si>
    <t>(54) 94839-4389</t>
  </si>
  <si>
    <t>ByteWave - cliente ativo</t>
  </si>
  <si>
    <t>Studio Mix - Ricardo - 41999986194</t>
  </si>
  <si>
    <t>data 20-12-25</t>
  </si>
  <si>
    <t>41999986194</t>
  </si>
  <si>
    <t>Alpha Serviços - Ricardo - 64 4397-1640</t>
  </si>
  <si>
    <t>Paulo</t>
  </si>
  <si>
    <t>Loja Central - Paulo - (80) 97671-1239</t>
  </si>
  <si>
    <t>ByteWave - Maria - 73999931484</t>
  </si>
  <si>
    <t>73999931484</t>
  </si>
  <si>
    <t>TechNova / contato@technova.com.br / Compras</t>
  </si>
  <si>
    <t>(24) 99126-5254 falar com Ana</t>
  </si>
  <si>
    <t>(24) 99126-5254</t>
  </si>
  <si>
    <t>Mercado Ideal 81 3946-3055 07-11-25</t>
  </si>
  <si>
    <t>81 3946-3055</t>
  </si>
  <si>
    <t>VisionTech - Ana - (13) 91417-2360</t>
  </si>
  <si>
    <t>data 2026/03/19</t>
  </si>
  <si>
    <t>data 14-03-26</t>
  </si>
  <si>
    <t>Atacado Rio / maria@gmail.com / TI</t>
  </si>
  <si>
    <t>Casa do Café - Ana - 88 8015-8541</t>
  </si>
  <si>
    <t>Digital Plus / contato@digitalplus.com.br / RH</t>
  </si>
  <si>
    <t>Construtora Horizonte 14999960346 20-02-26</t>
  </si>
  <si>
    <t>data 20-02-26</t>
  </si>
  <si>
    <t>paulo@gmail.com</t>
  </si>
  <si>
    <t>Atacado Rio / ricardo@gmail.com / RH</t>
  </si>
  <si>
    <t>data 2026/03/06</t>
  </si>
  <si>
    <t>16 5961-6555</t>
  </si>
  <si>
    <t>(75) 91427-3054 falar com Fernanda</t>
  </si>
  <si>
    <t>(75) 91427-3054</t>
  </si>
  <si>
    <t>Construtora Horizonte / contato@construtorahorizonte.com.br / Financeiro</t>
  </si>
  <si>
    <t>Mercado Ideal - Maria - (37) 98962-3514</t>
  </si>
  <si>
    <t>Comercial Souza 75999988048 27-01-26</t>
  </si>
  <si>
    <t>Digital Plus - Paulo - (82) 99406-7540</t>
  </si>
  <si>
    <t>(82) 99406-7540</t>
  </si>
  <si>
    <t>Loja Central - Ana - 86 7505-6560</t>
  </si>
  <si>
    <t>Mercado Ideal 77999951443 10-11-25</t>
  </si>
  <si>
    <t>data 10-11-25</t>
  </si>
  <si>
    <t>Construtora Horizonte / maria@gmail.com / Financeiro</t>
  </si>
  <si>
    <t>data 15/08/2025</t>
  </si>
  <si>
    <t>81999984665 falar com Ricardo</t>
  </si>
  <si>
    <t>35999991935</t>
  </si>
  <si>
    <t>Digital Plus - cliente ativo</t>
  </si>
  <si>
    <t>Construtora Horizonte 29999985862 2025/08/07</t>
  </si>
  <si>
    <t>Atacado Rio (86) 96348-5161 23/01/2026</t>
  </si>
  <si>
    <t>(67) 92520-9565 falar com Fernanda</t>
  </si>
  <si>
    <t>contato@technova.com.br</t>
  </si>
  <si>
    <t>Casa do Café - Paulo - (29) 96459-2301</t>
  </si>
  <si>
    <t>Construtora Horizonte (84) 94889-3340 06/12/2025</t>
  </si>
  <si>
    <t>VisionTech - Maria - 39 8773-9294</t>
  </si>
  <si>
    <t>Global Trade / sem email / Compras</t>
  </si>
  <si>
    <t>data 17-01-26</t>
  </si>
  <si>
    <t>Atacado Rio - Carlos - (65) 99925-2094</t>
  </si>
  <si>
    <t>data 08/01/2026</t>
  </si>
  <si>
    <t>(65) 99925-2094</t>
  </si>
  <si>
    <t>Casa do Café - Fernanda - (54) 93736-8603</t>
  </si>
  <si>
    <t>VisionTech / ricardo@gmail.com / Financeiro</t>
  </si>
  <si>
    <t>Studio Mix 83999972913 2025/08/02</t>
  </si>
  <si>
    <t>VisionTech (46) 99263-5779 05-12-25</t>
  </si>
  <si>
    <t>40999997037 falar com Carlos</t>
  </si>
  <si>
    <t>40999997037</t>
  </si>
  <si>
    <t>(42) 96603-1547</t>
  </si>
  <si>
    <t>Mercado Ideal - Camila - 31 3228-1937</t>
  </si>
  <si>
    <t>Mercado Ideal / camila@gmail.com / RH</t>
  </si>
  <si>
    <t>TechNova 31 4903-5148 2026/02/20</t>
  </si>
  <si>
    <t>Studio Mix / sem email / Marketing</t>
  </si>
  <si>
    <t>data 2026/03/11</t>
  </si>
  <si>
    <t>Mercado Ideal - Maria - 69999933166</t>
  </si>
  <si>
    <t>87 4364-1661</t>
  </si>
  <si>
    <t>90 6833-3886 falar com Ana</t>
  </si>
  <si>
    <t>data 04-08-25</t>
  </si>
  <si>
    <t>11999962562 falar com Camila</t>
  </si>
  <si>
    <t>Atacado Rio / sem email / Marketing</t>
  </si>
  <si>
    <t>data 10/05/2026</t>
  </si>
  <si>
    <t>Construtora Horizonte - Paulo - (96) 92979-9247</t>
  </si>
  <si>
    <t>data 2025/11/21</t>
  </si>
  <si>
    <t>Loja Central - Carlos - (13) 91634-3364</t>
  </si>
  <si>
    <t>Studio Mix (62) 98742-4473 2025/10/18</t>
  </si>
  <si>
    <t>Casa do Café / patrícia@gmail.com / Compras</t>
  </si>
  <si>
    <t>data 21/03/2026</t>
  </si>
  <si>
    <t>Loja Central 86999927269 2025/07/28</t>
  </si>
  <si>
    <t>Casa do Café 49999972170 15/01/2026</t>
  </si>
  <si>
    <t>39999930857 falar com Carlos</t>
  </si>
  <si>
    <t>data 2026/02/15</t>
  </si>
  <si>
    <t>data 19-01-26</t>
  </si>
  <si>
    <t>93999927722 falar com Carlos</t>
  </si>
  <si>
    <t>87 7993-7885 falar com João</t>
  </si>
  <si>
    <t>data 29-09-25</t>
  </si>
  <si>
    <t>70 4570-3688 falar com Paulo</t>
  </si>
  <si>
    <t>70 4570-3688</t>
  </si>
  <si>
    <t>VisionTech - Fernanda - 89 8931-7134</t>
  </si>
  <si>
    <t>30 3652-5169 falar com Fernanda</t>
  </si>
  <si>
    <t>Casa do Café / sem email / TI</t>
  </si>
  <si>
    <t>ByteWave 60999927395 07/08/2025</t>
  </si>
  <si>
    <t>data 07/08/2025</t>
  </si>
  <si>
    <t>ByteWave / sem email / RH</t>
  </si>
  <si>
    <t>Alpha Serviços 75 9352-4648 2026/02/20</t>
  </si>
  <si>
    <t>data 2026/02/20</t>
  </si>
  <si>
    <t>75 9352-4648</t>
  </si>
  <si>
    <t>97 5234-6461 falar com João</t>
  </si>
  <si>
    <t>João</t>
  </si>
  <si>
    <t>ByteWave / contato@bytewave.com.br / Compras</t>
  </si>
  <si>
    <t>32999987032</t>
  </si>
  <si>
    <t>81999991466 falar com Ricardo</t>
  </si>
  <si>
    <t>Atacado Rio - Ricardo - (29) 94427-6779</t>
  </si>
  <si>
    <t>data 05/12/2025</t>
  </si>
  <si>
    <t>(29) 94427-6779</t>
  </si>
  <si>
    <t>Atacado Rio - Maria - (60) 98610-3010</t>
  </si>
  <si>
    <t>ByteWave - Fernanda - 41999934036</t>
  </si>
  <si>
    <t>contato@bytewave.com.br</t>
  </si>
  <si>
    <t>(42) 91180-8523 falar com Carlos</t>
  </si>
  <si>
    <t>Alpha Serviços - Paulo - 51999997629</t>
  </si>
  <si>
    <t>TechNova - Fernanda - (21) 98525-9119</t>
  </si>
  <si>
    <t>(90) 95432-9921</t>
  </si>
  <si>
    <t>Loja Central / paulo@gmail.com / Financeiro</t>
  </si>
  <si>
    <t>Casa do Café / fernanda@gmail.com / TI</t>
  </si>
  <si>
    <t>empresa</t>
  </si>
  <si>
    <t>contato</t>
  </si>
  <si>
    <t>telefone/email</t>
  </si>
  <si>
    <t>telefone</t>
  </si>
  <si>
    <t>Digital Plus</t>
  </si>
  <si>
    <t>cliente repetido</t>
  </si>
  <si>
    <t>Construtora Horizonte</t>
  </si>
  <si>
    <t>67999993451</t>
  </si>
  <si>
    <t>TechNova</t>
  </si>
  <si>
    <t>90999991508 / camila@gmail.com</t>
  </si>
  <si>
    <t>Loja Central</t>
  </si>
  <si>
    <t>23999997110</t>
  </si>
  <si>
    <t>77999991611 / paulo@gmail.com</t>
  </si>
  <si>
    <t>VisionTech</t>
  </si>
  <si>
    <t>78999992155 / joão@gmail.com</t>
  </si>
  <si>
    <t>Studio Mix</t>
  </si>
  <si>
    <t>65999991068 / camila@gmail.com</t>
  </si>
  <si>
    <t>planilha veio do whatsapp</t>
  </si>
  <si>
    <t>fernanda@gmail.com</t>
  </si>
  <si>
    <t>Mercado Ideal</t>
  </si>
  <si>
    <t>Alpha Serviços</t>
  </si>
  <si>
    <t>61999999149</t>
  </si>
  <si>
    <t>Global Trade</t>
  </si>
  <si>
    <t>72999995487</t>
  </si>
  <si>
    <t>ana@gmail.com</t>
  </si>
  <si>
    <t>54999994970 / maria@gmail.com</t>
  </si>
  <si>
    <t>49999998252 / ana@gmail.com</t>
  </si>
  <si>
    <t>29999994011 / patrícia@gmail.com</t>
  </si>
  <si>
    <t>Casa do Café</t>
  </si>
  <si>
    <t>54999999147 / ana@gmail.com</t>
  </si>
  <si>
    <t>19999993653 / joão@gmail.com</t>
  </si>
  <si>
    <t>87999995590</t>
  </si>
  <si>
    <t>Atacado Rio</t>
  </si>
  <si>
    <t>83999996664</t>
  </si>
  <si>
    <t>53999997648</t>
  </si>
  <si>
    <t>ByteWave</t>
  </si>
  <si>
    <t>79999999690</t>
  </si>
  <si>
    <t>60999991440</t>
  </si>
  <si>
    <t>43999994918 / ricardo@gmail.com</t>
  </si>
  <si>
    <t>73999998546</t>
  </si>
  <si>
    <t>32999994711</t>
  </si>
  <si>
    <t>58999996244</t>
  </si>
  <si>
    <t>83999992877</t>
  </si>
  <si>
    <t>Comercial Souza</t>
  </si>
  <si>
    <t>30999999450 / joão@gmail.com</t>
  </si>
  <si>
    <t>42999996152</t>
  </si>
  <si>
    <t>40999995315</t>
  </si>
  <si>
    <t>64999994875</t>
  </si>
  <si>
    <t>91999993935</t>
  </si>
  <si>
    <t>40999994211</t>
  </si>
  <si>
    <t>82999996443 / carlos@gmail.com</t>
  </si>
  <si>
    <t>76999996250 / camila@gmail.com</t>
  </si>
  <si>
    <t>49999996648</t>
  </si>
  <si>
    <t>camila@gmail.com</t>
  </si>
  <si>
    <t>46999991100</t>
  </si>
  <si>
    <t>33999994294</t>
  </si>
  <si>
    <t>48999995144</t>
  </si>
  <si>
    <t>73999998155 / maria@gmail.com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</si>
</sst>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0.0"/>
    <col customWidth="1" min="5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</row>
    <row r="5">
      <c r="A5" s="2" t="s">
        <v>9</v>
      </c>
      <c r="C5" s="2" t="s">
        <v>10</v>
      </c>
    </row>
    <row r="6">
      <c r="A6" s="2" t="s">
        <v>11</v>
      </c>
      <c r="B6" s="2" t="s">
        <v>12</v>
      </c>
      <c r="C6" s="2" t="s">
        <v>13</v>
      </c>
      <c r="D6" s="2" t="s">
        <v>14</v>
      </c>
    </row>
    <row r="7">
      <c r="A7" s="2" t="s">
        <v>11</v>
      </c>
      <c r="B7" s="2" t="s">
        <v>12</v>
      </c>
      <c r="C7" s="2" t="s">
        <v>13</v>
      </c>
      <c r="D7" s="2" t="s">
        <v>14</v>
      </c>
    </row>
    <row r="8">
      <c r="A8" s="2" t="s">
        <v>15</v>
      </c>
      <c r="B8" s="2" t="s">
        <v>16</v>
      </c>
      <c r="C8" s="2" t="s">
        <v>16</v>
      </c>
      <c r="D8" s="2" t="s">
        <v>17</v>
      </c>
    </row>
    <row r="9">
      <c r="A9" s="2" t="s">
        <v>18</v>
      </c>
      <c r="C9" s="2" t="s">
        <v>19</v>
      </c>
      <c r="D9" s="2" t="s">
        <v>14</v>
      </c>
    </row>
    <row r="10">
      <c r="A10" s="2" t="s">
        <v>20</v>
      </c>
      <c r="B10" s="2" t="s">
        <v>21</v>
      </c>
      <c r="C10" s="2" t="s">
        <v>22</v>
      </c>
      <c r="D10" s="2" t="s">
        <v>17</v>
      </c>
    </row>
    <row r="11">
      <c r="A11" s="2" t="s">
        <v>23</v>
      </c>
      <c r="B11" s="2" t="s">
        <v>24</v>
      </c>
      <c r="D11" s="2" t="s">
        <v>8</v>
      </c>
    </row>
    <row r="12">
      <c r="A12" s="2" t="s">
        <v>23</v>
      </c>
      <c r="B12" s="2" t="s">
        <v>24</v>
      </c>
      <c r="D12" s="2" t="s">
        <v>8</v>
      </c>
    </row>
    <row r="13">
      <c r="A13" s="2" t="s">
        <v>25</v>
      </c>
      <c r="B13" s="2" t="s">
        <v>26</v>
      </c>
      <c r="C13" s="2" t="s">
        <v>27</v>
      </c>
      <c r="D13" s="2" t="s">
        <v>14</v>
      </c>
    </row>
    <row r="14">
      <c r="A14" s="2" t="s">
        <v>28</v>
      </c>
      <c r="B14" s="2" t="s">
        <v>29</v>
      </c>
      <c r="C14" s="2" t="s">
        <v>30</v>
      </c>
    </row>
    <row r="15">
      <c r="A15" s="2" t="s">
        <v>31</v>
      </c>
      <c r="B15" s="2" t="s">
        <v>32</v>
      </c>
      <c r="C15" s="2" t="s">
        <v>33</v>
      </c>
      <c r="D15" s="2" t="s">
        <v>17</v>
      </c>
    </row>
    <row r="16">
      <c r="A16" s="2" t="s">
        <v>34</v>
      </c>
      <c r="B16" s="2" t="s">
        <v>16</v>
      </c>
    </row>
    <row r="17">
      <c r="A17" s="2" t="s">
        <v>35</v>
      </c>
      <c r="B17" s="2" t="s">
        <v>36</v>
      </c>
      <c r="C17" s="2" t="s">
        <v>37</v>
      </c>
    </row>
    <row r="18">
      <c r="A18" s="2" t="s">
        <v>38</v>
      </c>
      <c r="B18" s="2" t="s">
        <v>39</v>
      </c>
      <c r="C18" s="2" t="s">
        <v>40</v>
      </c>
      <c r="D18" s="2" t="s">
        <v>17</v>
      </c>
    </row>
    <row r="19">
      <c r="A19" s="2" t="s">
        <v>41</v>
      </c>
      <c r="B19" s="2" t="s">
        <v>42</v>
      </c>
      <c r="C19" s="2" t="s">
        <v>19</v>
      </c>
      <c r="D19" s="2" t="s">
        <v>14</v>
      </c>
    </row>
    <row r="20">
      <c r="A20" s="2" t="str">
        <f>==== NOVA LISTA IMPORTADA =====</f>
        <v>#ERROR!</v>
      </c>
    </row>
    <row r="21" ht="15.75" customHeight="1">
      <c r="A21" s="2" t="s">
        <v>43</v>
      </c>
      <c r="B21" s="2" t="s">
        <v>44</v>
      </c>
      <c r="C21" s="2" t="s">
        <v>45</v>
      </c>
      <c r="D21" s="2" t="s">
        <v>29</v>
      </c>
    </row>
    <row r="22" ht="15.75" customHeight="1">
      <c r="A22" s="2" t="s">
        <v>46</v>
      </c>
      <c r="B22" s="2" t="s">
        <v>42</v>
      </c>
      <c r="D22" s="2" t="s">
        <v>17</v>
      </c>
    </row>
    <row r="23" ht="15.75" customHeight="1">
      <c r="A23" s="2" t="s">
        <v>47</v>
      </c>
      <c r="B23" s="2" t="s">
        <v>8</v>
      </c>
      <c r="C23" s="2" t="s">
        <v>16</v>
      </c>
      <c r="D23" s="2" t="s">
        <v>8</v>
      </c>
    </row>
    <row r="24" ht="15.75" customHeight="1">
      <c r="A24" s="2" t="s">
        <v>47</v>
      </c>
      <c r="B24" s="2" t="s">
        <v>8</v>
      </c>
      <c r="C24" s="2" t="s">
        <v>16</v>
      </c>
      <c r="D24" s="2" t="s">
        <v>8</v>
      </c>
    </row>
    <row r="25" ht="15.75" customHeight="1">
      <c r="A25" s="2" t="s">
        <v>48</v>
      </c>
      <c r="C25" s="2" t="s">
        <v>16</v>
      </c>
    </row>
    <row r="26" ht="15.75" customHeight="1">
      <c r="A26" s="2" t="s">
        <v>49</v>
      </c>
      <c r="B26" s="2" t="s">
        <v>50</v>
      </c>
      <c r="C26" s="2" t="s">
        <v>51</v>
      </c>
      <c r="D26" s="2" t="s">
        <v>17</v>
      </c>
    </row>
    <row r="27" ht="15.75" customHeight="1">
      <c r="A27" s="2" t="s">
        <v>52</v>
      </c>
      <c r="B27" s="2" t="s">
        <v>53</v>
      </c>
      <c r="C27" s="2" t="s">
        <v>10</v>
      </c>
      <c r="D27" s="2" t="s">
        <v>14</v>
      </c>
    </row>
    <row r="28" ht="15.75" customHeight="1">
      <c r="A28" s="2" t="s">
        <v>54</v>
      </c>
      <c r="C28" s="2" t="s">
        <v>55</v>
      </c>
      <c r="D28" s="2" t="s">
        <v>29</v>
      </c>
    </row>
    <row r="29" ht="15.75" customHeight="1">
      <c r="A29" s="2" t="s">
        <v>54</v>
      </c>
      <c r="C29" s="2" t="s">
        <v>55</v>
      </c>
      <c r="D29" s="2" t="s">
        <v>29</v>
      </c>
    </row>
    <row r="30" ht="15.75" customHeight="1">
      <c r="A30" s="2" t="s">
        <v>56</v>
      </c>
      <c r="B30" s="2" t="s">
        <v>6</v>
      </c>
      <c r="D30" s="2" t="s">
        <v>8</v>
      </c>
    </row>
    <row r="31" ht="15.75" customHeight="1">
      <c r="A31" s="2" t="s">
        <v>57</v>
      </c>
      <c r="B31" s="2" t="s">
        <v>42</v>
      </c>
      <c r="C31" s="2" t="s">
        <v>58</v>
      </c>
    </row>
    <row r="32" ht="15.75" customHeight="1">
      <c r="A32" s="2" t="s">
        <v>59</v>
      </c>
      <c r="C32" s="2" t="s">
        <v>60</v>
      </c>
      <c r="D32" s="2" t="s">
        <v>17</v>
      </c>
    </row>
    <row r="33" ht="15.75" customHeight="1">
      <c r="A33" s="2" t="s">
        <v>61</v>
      </c>
      <c r="B33" s="2" t="s">
        <v>62</v>
      </c>
    </row>
    <row r="34" ht="15.75" customHeight="1">
      <c r="A34" s="2" t="s">
        <v>63</v>
      </c>
      <c r="B34" s="2" t="s">
        <v>16</v>
      </c>
    </row>
    <row r="35" ht="15.75" customHeight="1">
      <c r="A35" s="2" t="s">
        <v>64</v>
      </c>
      <c r="B35" s="2" t="s">
        <v>65</v>
      </c>
      <c r="C35" s="2" t="s">
        <v>66</v>
      </c>
      <c r="D35" s="2" t="s">
        <v>17</v>
      </c>
    </row>
    <row r="36" ht="15.75" customHeight="1">
      <c r="A36" s="2" t="s">
        <v>67</v>
      </c>
      <c r="B36" s="2" t="s">
        <v>42</v>
      </c>
      <c r="C36" s="2" t="s">
        <v>16</v>
      </c>
    </row>
    <row r="37" ht="15.75" customHeight="1">
      <c r="A37" s="2" t="s">
        <v>68</v>
      </c>
      <c r="B37" s="2" t="s">
        <v>29</v>
      </c>
      <c r="C37" s="2" t="s">
        <v>69</v>
      </c>
    </row>
    <row r="38" ht="15.75" customHeight="1">
      <c r="A38" s="2" t="s">
        <v>70</v>
      </c>
      <c r="B38" s="2" t="s">
        <v>71</v>
      </c>
      <c r="C38" s="2" t="s">
        <v>22</v>
      </c>
      <c r="D38" s="2" t="s">
        <v>14</v>
      </c>
    </row>
    <row r="39" ht="15.75" customHeight="1">
      <c r="A39" s="2" t="s">
        <v>72</v>
      </c>
      <c r="B39" s="2" t="s">
        <v>16</v>
      </c>
      <c r="D39" s="2" t="s">
        <v>17</v>
      </c>
    </row>
    <row r="40" ht="15.75" customHeight="1">
      <c r="A40" s="2" t="s">
        <v>73</v>
      </c>
    </row>
    <row r="41" ht="15.75" customHeight="1">
      <c r="A41" s="2" t="s">
        <v>74</v>
      </c>
      <c r="B41" s="2" t="s">
        <v>75</v>
      </c>
    </row>
    <row r="42" ht="15.75" customHeight="1">
      <c r="A42" s="2" t="s">
        <v>68</v>
      </c>
      <c r="B42" s="2" t="s">
        <v>42</v>
      </c>
      <c r="C42" s="2" t="s">
        <v>76</v>
      </c>
      <c r="D42" s="2" t="s">
        <v>17</v>
      </c>
    </row>
    <row r="43" ht="15.75" customHeight="1">
      <c r="A43" s="2" t="s">
        <v>77</v>
      </c>
      <c r="B43" s="2" t="s">
        <v>78</v>
      </c>
      <c r="C43" s="2" t="s">
        <v>79</v>
      </c>
      <c r="D43" s="2" t="s">
        <v>16</v>
      </c>
    </row>
    <row r="44" ht="15.75" customHeight="1">
      <c r="A44" s="2" t="s">
        <v>77</v>
      </c>
      <c r="B44" s="2" t="s">
        <v>78</v>
      </c>
      <c r="C44" s="2" t="s">
        <v>79</v>
      </c>
      <c r="D44" s="2" t="s">
        <v>16</v>
      </c>
    </row>
    <row r="45" ht="15.75" customHeight="1">
      <c r="A45" s="2" t="s">
        <v>80</v>
      </c>
      <c r="B45" s="2" t="s">
        <v>81</v>
      </c>
      <c r="C45" s="2" t="s">
        <v>82</v>
      </c>
      <c r="D45" s="2" t="s">
        <v>50</v>
      </c>
    </row>
    <row r="46" ht="15.75" customHeight="1">
      <c r="A46" s="2" t="s">
        <v>83</v>
      </c>
      <c r="B46" s="2" t="s">
        <v>42</v>
      </c>
      <c r="C46" s="2" t="s">
        <v>16</v>
      </c>
      <c r="D46" s="2" t="s">
        <v>29</v>
      </c>
    </row>
    <row r="47" ht="15.75" customHeight="1">
      <c r="A47" s="2" t="s">
        <v>83</v>
      </c>
      <c r="B47" s="2" t="s">
        <v>42</v>
      </c>
      <c r="C47" s="2" t="s">
        <v>16</v>
      </c>
      <c r="D47" s="2" t="s">
        <v>29</v>
      </c>
    </row>
    <row r="48" ht="15.75" customHeight="1">
      <c r="A48" s="2" t="s">
        <v>84</v>
      </c>
      <c r="B48" s="2" t="s">
        <v>42</v>
      </c>
      <c r="C48" s="2" t="s">
        <v>7</v>
      </c>
      <c r="D48" s="2" t="s">
        <v>17</v>
      </c>
    </row>
    <row r="49" ht="15.75" customHeight="1">
      <c r="A49" s="2" t="s">
        <v>85</v>
      </c>
      <c r="B49" s="2" t="s">
        <v>26</v>
      </c>
      <c r="C49" s="2" t="s">
        <v>86</v>
      </c>
    </row>
    <row r="50" ht="15.75" customHeight="1">
      <c r="A50" s="2" t="s">
        <v>87</v>
      </c>
      <c r="B50" s="2" t="s">
        <v>42</v>
      </c>
      <c r="C50" s="2" t="s">
        <v>79</v>
      </c>
      <c r="D50" s="2" t="s">
        <v>14</v>
      </c>
    </row>
    <row r="51" ht="15.75" customHeight="1">
      <c r="A51" s="2" t="s">
        <v>88</v>
      </c>
      <c r="B51" s="2" t="s">
        <v>89</v>
      </c>
      <c r="C51" s="2" t="s">
        <v>90</v>
      </c>
      <c r="D51" s="2" t="s">
        <v>17</v>
      </c>
    </row>
    <row r="52" ht="15.75" customHeight="1">
      <c r="A52" s="2" t="s">
        <v>91</v>
      </c>
      <c r="B52" s="2" t="s">
        <v>92</v>
      </c>
      <c r="C52" s="2" t="s">
        <v>93</v>
      </c>
      <c r="D52" s="2" t="s">
        <v>17</v>
      </c>
    </row>
    <row r="53" ht="15.75" customHeight="1">
      <c r="A53" s="2" t="s">
        <v>94</v>
      </c>
      <c r="B53" s="2" t="s">
        <v>42</v>
      </c>
      <c r="C53" s="2" t="s">
        <v>55</v>
      </c>
    </row>
    <row r="54" ht="15.75" customHeight="1">
      <c r="A54" s="2" t="s">
        <v>95</v>
      </c>
      <c r="B54" s="2" t="s">
        <v>42</v>
      </c>
      <c r="C54" s="2" t="s">
        <v>66</v>
      </c>
    </row>
    <row r="55" ht="15.75" customHeight="1">
      <c r="A55" s="2" t="str">
        <f>==== NOVA LISTA IMPORTADA =====</f>
        <v>#ERROR!</v>
      </c>
    </row>
    <row r="56" ht="15.75" customHeight="1">
      <c r="A56" s="2" t="s">
        <v>96</v>
      </c>
      <c r="B56" s="2" t="s">
        <v>97</v>
      </c>
      <c r="C56" s="2" t="s">
        <v>98</v>
      </c>
      <c r="D56" s="2" t="s">
        <v>8</v>
      </c>
    </row>
    <row r="57" ht="15.75" customHeight="1">
      <c r="A57" s="2" t="s">
        <v>96</v>
      </c>
      <c r="B57" s="2" t="s">
        <v>97</v>
      </c>
      <c r="C57" s="2" t="s">
        <v>98</v>
      </c>
      <c r="D57" s="2" t="s">
        <v>8</v>
      </c>
    </row>
    <row r="58" ht="15.75" customHeight="1">
      <c r="A58" s="2" t="s">
        <v>99</v>
      </c>
      <c r="B58" s="2" t="s">
        <v>42</v>
      </c>
      <c r="C58" s="2" t="s">
        <v>79</v>
      </c>
    </row>
    <row r="59" ht="15.75" customHeight="1">
      <c r="A59" s="2" t="s">
        <v>100</v>
      </c>
      <c r="B59" s="2" t="s">
        <v>101</v>
      </c>
      <c r="C59" s="2" t="s">
        <v>79</v>
      </c>
      <c r="D59" s="2" t="s">
        <v>8</v>
      </c>
    </row>
    <row r="60" ht="15.75" customHeight="1">
      <c r="A60" s="2" t="s">
        <v>102</v>
      </c>
      <c r="B60" s="2" t="s">
        <v>53</v>
      </c>
      <c r="C60" s="2" t="s">
        <v>55</v>
      </c>
      <c r="D60" s="2" t="s">
        <v>8</v>
      </c>
    </row>
    <row r="61" ht="15.75" customHeight="1">
      <c r="A61" s="2" t="s">
        <v>102</v>
      </c>
      <c r="B61" s="2" t="s">
        <v>53</v>
      </c>
      <c r="C61" s="2" t="s">
        <v>55</v>
      </c>
      <c r="D61" s="2" t="s">
        <v>8</v>
      </c>
    </row>
    <row r="62" ht="15.75" customHeight="1">
      <c r="A62" s="2" t="s">
        <v>103</v>
      </c>
      <c r="B62" s="2" t="s">
        <v>104</v>
      </c>
      <c r="D62" s="2" t="s">
        <v>14</v>
      </c>
    </row>
    <row r="63" ht="15.75" customHeight="1">
      <c r="A63" s="2" t="s">
        <v>67</v>
      </c>
      <c r="B63" s="2" t="s">
        <v>42</v>
      </c>
      <c r="C63" s="2" t="s">
        <v>105</v>
      </c>
      <c r="D63" s="2" t="s">
        <v>17</v>
      </c>
    </row>
    <row r="64" ht="15.75" customHeight="1">
      <c r="A64" s="2" t="s">
        <v>106</v>
      </c>
      <c r="B64" s="2" t="s">
        <v>42</v>
      </c>
      <c r="C64" s="2" t="s">
        <v>98</v>
      </c>
      <c r="D64" s="2" t="s">
        <v>26</v>
      </c>
    </row>
    <row r="65" ht="15.75" customHeight="1">
      <c r="A65" s="2" t="s">
        <v>106</v>
      </c>
      <c r="B65" s="2" t="s">
        <v>42</v>
      </c>
      <c r="C65" s="2" t="s">
        <v>98</v>
      </c>
      <c r="D65" s="2" t="s">
        <v>26</v>
      </c>
    </row>
    <row r="66" ht="15.75" customHeight="1">
      <c r="A66" s="2" t="s">
        <v>107</v>
      </c>
      <c r="B66" s="2" t="s">
        <v>6</v>
      </c>
      <c r="C66" s="2" t="s">
        <v>22</v>
      </c>
      <c r="D66" s="2" t="s">
        <v>17</v>
      </c>
    </row>
    <row r="67" ht="15.75" customHeight="1">
      <c r="A67" s="2" t="s">
        <v>108</v>
      </c>
      <c r="B67" s="2" t="s">
        <v>36</v>
      </c>
      <c r="D67" s="2" t="s">
        <v>14</v>
      </c>
    </row>
    <row r="68" ht="15.75" customHeight="1">
      <c r="A68" s="2" t="s">
        <v>109</v>
      </c>
      <c r="B68" s="2" t="s">
        <v>42</v>
      </c>
      <c r="C68" s="2" t="s">
        <v>19</v>
      </c>
      <c r="D68" s="2" t="s">
        <v>50</v>
      </c>
    </row>
    <row r="69" ht="15.75" customHeight="1">
      <c r="A69" s="2" t="s">
        <v>110</v>
      </c>
      <c r="C69" s="2" t="s">
        <v>79</v>
      </c>
    </row>
    <row r="70" ht="15.75" customHeight="1">
      <c r="A70" s="2" t="s">
        <v>111</v>
      </c>
      <c r="C70" s="2" t="s">
        <v>66</v>
      </c>
    </row>
    <row r="71" ht="15.75" customHeight="1">
      <c r="A71" s="2" t="s">
        <v>112</v>
      </c>
      <c r="B71" s="2" t="s">
        <v>113</v>
      </c>
      <c r="C71" s="2" t="s">
        <v>114</v>
      </c>
      <c r="D71" s="2" t="s">
        <v>14</v>
      </c>
    </row>
    <row r="72" ht="15.75" customHeight="1">
      <c r="A72" s="2" t="s">
        <v>115</v>
      </c>
      <c r="B72" s="2" t="s">
        <v>92</v>
      </c>
      <c r="C72" s="2" t="s">
        <v>116</v>
      </c>
    </row>
    <row r="73" ht="15.75" customHeight="1">
      <c r="A73" s="2" t="s">
        <v>117</v>
      </c>
      <c r="B73" s="2" t="s">
        <v>42</v>
      </c>
      <c r="C73" s="2" t="s">
        <v>22</v>
      </c>
      <c r="D73" s="2" t="s">
        <v>50</v>
      </c>
    </row>
    <row r="74" ht="15.75" customHeight="1">
      <c r="A74" s="2" t="s">
        <v>118</v>
      </c>
      <c r="C74" s="2" t="s">
        <v>66</v>
      </c>
      <c r="D74" s="2" t="s">
        <v>50</v>
      </c>
    </row>
    <row r="75" ht="15.75" customHeight="1">
      <c r="A75" s="2" t="s">
        <v>119</v>
      </c>
      <c r="C75" s="2" t="s">
        <v>30</v>
      </c>
      <c r="D75" s="2" t="s">
        <v>14</v>
      </c>
    </row>
    <row r="76" ht="15.75" customHeight="1">
      <c r="A76" s="2" t="s">
        <v>120</v>
      </c>
      <c r="B76" s="2" t="s">
        <v>92</v>
      </c>
    </row>
    <row r="77" ht="15.75" customHeight="1">
      <c r="A77" s="2" t="s">
        <v>121</v>
      </c>
      <c r="B77" s="2" t="s">
        <v>42</v>
      </c>
      <c r="D77" s="2" t="s">
        <v>17</v>
      </c>
    </row>
    <row r="78" ht="15.75" customHeight="1">
      <c r="A78" s="2" t="s">
        <v>122</v>
      </c>
      <c r="B78" s="2" t="s">
        <v>16</v>
      </c>
      <c r="C78" s="2" t="s">
        <v>123</v>
      </c>
      <c r="D78" s="2" t="s">
        <v>8</v>
      </c>
    </row>
    <row r="79" ht="15.75" customHeight="1">
      <c r="A79" s="2" t="s">
        <v>124</v>
      </c>
      <c r="B79" s="2" t="s">
        <v>42</v>
      </c>
      <c r="C79" s="2" t="s">
        <v>79</v>
      </c>
      <c r="D79" s="2" t="s">
        <v>14</v>
      </c>
    </row>
    <row r="80" ht="15.75" customHeight="1">
      <c r="A80" s="2" t="s">
        <v>125</v>
      </c>
      <c r="C80" s="2" t="s">
        <v>7</v>
      </c>
    </row>
    <row r="81" ht="15.75" customHeight="1">
      <c r="A81" s="2" t="s">
        <v>118</v>
      </c>
      <c r="B81" s="2" t="s">
        <v>53</v>
      </c>
      <c r="D81" s="2" t="s">
        <v>8</v>
      </c>
    </row>
    <row r="82" ht="15.75" customHeight="1">
      <c r="A82" s="2" t="s">
        <v>126</v>
      </c>
      <c r="C82" s="2" t="s">
        <v>127</v>
      </c>
      <c r="D82" s="2" t="s">
        <v>8</v>
      </c>
    </row>
    <row r="83" ht="15.75" customHeight="1">
      <c r="A83" s="2" t="s">
        <v>128</v>
      </c>
      <c r="B83" s="2" t="s">
        <v>129</v>
      </c>
      <c r="C83" s="2" t="s">
        <v>130</v>
      </c>
      <c r="D83" s="2" t="s">
        <v>8</v>
      </c>
    </row>
    <row r="84" ht="15.75" customHeight="1">
      <c r="A84" s="2" t="s">
        <v>131</v>
      </c>
      <c r="C84" s="2" t="s">
        <v>132</v>
      </c>
      <c r="D84" s="2" t="s">
        <v>14</v>
      </c>
    </row>
    <row r="85" ht="15.75" customHeight="1">
      <c r="A85" s="2" t="s">
        <v>133</v>
      </c>
      <c r="C85" s="2" t="s">
        <v>134</v>
      </c>
      <c r="D85" s="2" t="s">
        <v>8</v>
      </c>
    </row>
    <row r="86" ht="15.75" customHeight="1">
      <c r="A86" s="2" t="s">
        <v>100</v>
      </c>
      <c r="B86" s="2" t="s">
        <v>42</v>
      </c>
      <c r="C86" s="2" t="s">
        <v>13</v>
      </c>
      <c r="D86" s="2" t="s">
        <v>16</v>
      </c>
    </row>
    <row r="87" ht="15.75" customHeight="1">
      <c r="A87" s="2" t="s">
        <v>135</v>
      </c>
      <c r="B87" s="2" t="s">
        <v>136</v>
      </c>
      <c r="C87" s="2" t="s">
        <v>137</v>
      </c>
    </row>
    <row r="88" ht="15.75" customHeight="1">
      <c r="A88" s="2" t="s">
        <v>138</v>
      </c>
      <c r="B88" s="2" t="s">
        <v>78</v>
      </c>
      <c r="C88" s="2" t="s">
        <v>139</v>
      </c>
      <c r="D88" s="2" t="s">
        <v>8</v>
      </c>
    </row>
    <row r="89" ht="15.75" customHeight="1">
      <c r="A89" s="2" t="str">
        <f>==== NOVA LISTA IMPORTADA =====</f>
        <v>#ERROR!</v>
      </c>
    </row>
    <row r="90" ht="15.75" customHeight="1">
      <c r="A90" s="2" t="s">
        <v>140</v>
      </c>
      <c r="B90" s="2" t="s">
        <v>141</v>
      </c>
      <c r="C90" s="2" t="s">
        <v>22</v>
      </c>
      <c r="D90" s="2" t="s">
        <v>71</v>
      </c>
    </row>
    <row r="91" ht="15.75" customHeight="1">
      <c r="A91" s="2" t="s">
        <v>142</v>
      </c>
      <c r="B91" s="2" t="s">
        <v>8</v>
      </c>
      <c r="C91" s="2" t="s">
        <v>143</v>
      </c>
      <c r="D91" s="2" t="s">
        <v>14</v>
      </c>
    </row>
    <row r="92" ht="15.75" customHeight="1">
      <c r="A92" s="2" t="s">
        <v>144</v>
      </c>
      <c r="B92" s="2" t="s">
        <v>6</v>
      </c>
      <c r="C92" s="2" t="s">
        <v>19</v>
      </c>
      <c r="D92" s="2" t="s">
        <v>17</v>
      </c>
    </row>
    <row r="93" ht="15.75" customHeight="1">
      <c r="A93" s="2" t="s">
        <v>145</v>
      </c>
      <c r="B93" s="2" t="s">
        <v>78</v>
      </c>
      <c r="C93" s="2" t="s">
        <v>146</v>
      </c>
      <c r="D93" s="2" t="s">
        <v>14</v>
      </c>
    </row>
    <row r="94" ht="15.75" customHeight="1">
      <c r="A94" s="2" t="s">
        <v>147</v>
      </c>
      <c r="B94" s="2" t="s">
        <v>141</v>
      </c>
      <c r="C94" s="2" t="s">
        <v>148</v>
      </c>
      <c r="D94" s="2" t="s">
        <v>17</v>
      </c>
    </row>
    <row r="95" ht="15.75" customHeight="1">
      <c r="A95" s="2" t="s">
        <v>149</v>
      </c>
      <c r="D95" s="2" t="s">
        <v>17</v>
      </c>
    </row>
    <row r="96" ht="15.75" customHeight="1">
      <c r="A96" s="2" t="s">
        <v>150</v>
      </c>
      <c r="B96" s="2" t="s">
        <v>92</v>
      </c>
      <c r="D96" s="2" t="s">
        <v>14</v>
      </c>
    </row>
    <row r="97" ht="15.75" customHeight="1">
      <c r="A97" s="2" t="s">
        <v>151</v>
      </c>
      <c r="B97" s="2" t="s">
        <v>71</v>
      </c>
      <c r="C97" s="2" t="s">
        <v>37</v>
      </c>
      <c r="D97" s="2" t="s">
        <v>8</v>
      </c>
    </row>
    <row r="98" ht="15.75" customHeight="1">
      <c r="A98" s="2" t="s">
        <v>152</v>
      </c>
      <c r="B98" s="2" t="s">
        <v>53</v>
      </c>
      <c r="D98" s="2" t="s">
        <v>17</v>
      </c>
    </row>
    <row r="99" ht="15.75" customHeight="1">
      <c r="A99" s="2" t="s">
        <v>153</v>
      </c>
      <c r="B99" s="2" t="s">
        <v>26</v>
      </c>
      <c r="C99" s="2" t="s">
        <v>154</v>
      </c>
      <c r="D99" s="2" t="s">
        <v>29</v>
      </c>
    </row>
    <row r="100" ht="15.75" customHeight="1">
      <c r="A100" s="2" t="s">
        <v>155</v>
      </c>
      <c r="B100" s="2" t="s">
        <v>42</v>
      </c>
      <c r="C100" s="2" t="s">
        <v>86</v>
      </c>
      <c r="D100" s="2" t="s">
        <v>14</v>
      </c>
    </row>
    <row r="101" ht="15.75" customHeight="1">
      <c r="A101" s="2" t="s">
        <v>156</v>
      </c>
      <c r="B101" s="2" t="s">
        <v>92</v>
      </c>
      <c r="C101" s="2" t="s">
        <v>66</v>
      </c>
      <c r="D101" s="2" t="s">
        <v>17</v>
      </c>
    </row>
    <row r="102" ht="15.75" customHeight="1">
      <c r="A102" s="2" t="s">
        <v>157</v>
      </c>
      <c r="B102" s="2" t="s">
        <v>71</v>
      </c>
      <c r="C102" s="2" t="s">
        <v>158</v>
      </c>
      <c r="D102" s="2" t="s">
        <v>14</v>
      </c>
    </row>
    <row r="103" ht="15.75" customHeight="1">
      <c r="A103" s="2" t="s">
        <v>157</v>
      </c>
      <c r="B103" s="2" t="s">
        <v>71</v>
      </c>
      <c r="C103" s="2" t="s">
        <v>158</v>
      </c>
      <c r="D103" s="2" t="s">
        <v>14</v>
      </c>
    </row>
    <row r="104" ht="15.75" customHeight="1">
      <c r="A104" s="2" t="s">
        <v>159</v>
      </c>
      <c r="B104" s="2" t="s">
        <v>8</v>
      </c>
      <c r="C104" s="2" t="s">
        <v>27</v>
      </c>
      <c r="D104" s="2" t="s">
        <v>14</v>
      </c>
    </row>
    <row r="105" ht="15.75" customHeight="1">
      <c r="A105" s="2" t="s">
        <v>48</v>
      </c>
      <c r="B105" s="2" t="s">
        <v>50</v>
      </c>
      <c r="C105" s="2" t="s">
        <v>160</v>
      </c>
      <c r="D105" s="2" t="s">
        <v>17</v>
      </c>
    </row>
    <row r="106" ht="15.75" customHeight="1">
      <c r="A106" s="2" t="s">
        <v>161</v>
      </c>
      <c r="B106" s="2" t="s">
        <v>8</v>
      </c>
    </row>
    <row r="107" ht="15.75" customHeight="1">
      <c r="A107" s="2" t="s">
        <v>161</v>
      </c>
      <c r="B107" s="2" t="s">
        <v>8</v>
      </c>
    </row>
    <row r="108" ht="15.75" customHeight="1">
      <c r="A108" s="2" t="s">
        <v>162</v>
      </c>
      <c r="B108" s="2" t="s">
        <v>163</v>
      </c>
      <c r="C108" s="2" t="s">
        <v>164</v>
      </c>
      <c r="D108" s="2" t="s">
        <v>14</v>
      </c>
    </row>
    <row r="109" ht="15.75" customHeight="1">
      <c r="A109" s="2" t="s">
        <v>165</v>
      </c>
      <c r="B109" s="2" t="s">
        <v>65</v>
      </c>
      <c r="C109" s="2" t="s">
        <v>93</v>
      </c>
      <c r="D109" s="2" t="s">
        <v>14</v>
      </c>
    </row>
    <row r="110" ht="15.75" customHeight="1">
      <c r="A110" s="2" t="s">
        <v>151</v>
      </c>
      <c r="B110" s="2" t="s">
        <v>141</v>
      </c>
      <c r="C110" s="2" t="s">
        <v>166</v>
      </c>
    </row>
    <row r="111" ht="15.75" customHeight="1">
      <c r="A111" s="2" t="s">
        <v>151</v>
      </c>
      <c r="B111" s="2" t="s">
        <v>141</v>
      </c>
      <c r="C111" s="2" t="s">
        <v>166</v>
      </c>
    </row>
    <row r="112" ht="15.75" customHeight="1">
      <c r="A112" s="2" t="s">
        <v>167</v>
      </c>
      <c r="B112" s="2" t="s">
        <v>42</v>
      </c>
      <c r="C112" s="2" t="s">
        <v>16</v>
      </c>
      <c r="D112" s="2" t="s">
        <v>17</v>
      </c>
    </row>
    <row r="113" ht="15.75" customHeight="1">
      <c r="A113" s="2" t="s">
        <v>168</v>
      </c>
      <c r="B113" s="2" t="s">
        <v>78</v>
      </c>
      <c r="C113" s="2" t="s">
        <v>169</v>
      </c>
      <c r="D113" s="2" t="s">
        <v>17</v>
      </c>
    </row>
    <row r="114" ht="15.75" customHeight="1">
      <c r="A114" s="2" t="s">
        <v>68</v>
      </c>
      <c r="C114" s="2" t="s">
        <v>13</v>
      </c>
    </row>
    <row r="115" ht="15.75" customHeight="1">
      <c r="A115" s="2" t="s">
        <v>170</v>
      </c>
      <c r="B115" s="2" t="s">
        <v>6</v>
      </c>
      <c r="D115" s="2" t="s">
        <v>14</v>
      </c>
    </row>
    <row r="116" ht="15.75" customHeight="1">
      <c r="A116" s="2" t="s">
        <v>171</v>
      </c>
      <c r="B116" s="2" t="s">
        <v>42</v>
      </c>
      <c r="C116" s="2" t="s">
        <v>172</v>
      </c>
      <c r="D116" s="2" t="s">
        <v>8</v>
      </c>
    </row>
    <row r="117" ht="15.75" customHeight="1">
      <c r="A117" s="2" t="s">
        <v>173</v>
      </c>
      <c r="B117" s="2" t="s">
        <v>36</v>
      </c>
      <c r="C117" s="2" t="s">
        <v>174</v>
      </c>
      <c r="D117" s="2" t="s">
        <v>53</v>
      </c>
    </row>
    <row r="118" ht="15.75" customHeight="1">
      <c r="A118" s="2" t="s">
        <v>31</v>
      </c>
      <c r="B118" s="2" t="s">
        <v>42</v>
      </c>
      <c r="D118" s="2" t="s">
        <v>8</v>
      </c>
    </row>
    <row r="119" ht="15.75" customHeight="1">
      <c r="A119" s="2" t="s">
        <v>175</v>
      </c>
      <c r="B119" s="2" t="s">
        <v>176</v>
      </c>
      <c r="C119" s="2" t="s">
        <v>66</v>
      </c>
      <c r="D119" s="2" t="s">
        <v>26</v>
      </c>
    </row>
    <row r="120" ht="15.75" customHeight="1">
      <c r="A120" s="2" t="str">
        <f>==== NOVA LISTA IMPORTADA =====</f>
        <v>#ERROR!</v>
      </c>
    </row>
    <row r="121" ht="15.75" customHeight="1">
      <c r="A121" s="2" t="s">
        <v>108</v>
      </c>
      <c r="B121" s="2" t="s">
        <v>177</v>
      </c>
      <c r="C121" s="2" t="s">
        <v>37</v>
      </c>
      <c r="D121" s="2" t="s">
        <v>17</v>
      </c>
    </row>
    <row r="122" ht="15.75" customHeight="1">
      <c r="A122" s="2" t="s">
        <v>178</v>
      </c>
      <c r="B122" s="2" t="s">
        <v>16</v>
      </c>
      <c r="C122" s="2" t="s">
        <v>66</v>
      </c>
    </row>
    <row r="123" ht="15.75" customHeight="1">
      <c r="A123" s="2" t="s">
        <v>179</v>
      </c>
      <c r="B123" s="2" t="s">
        <v>78</v>
      </c>
      <c r="C123" s="2" t="s">
        <v>13</v>
      </c>
      <c r="D123" s="2" t="s">
        <v>8</v>
      </c>
    </row>
    <row r="124" ht="15.75" customHeight="1">
      <c r="A124" s="2" t="s">
        <v>180</v>
      </c>
      <c r="B124" s="2" t="s">
        <v>36</v>
      </c>
      <c r="D124" s="2" t="s">
        <v>17</v>
      </c>
    </row>
    <row r="125" ht="15.75" customHeight="1">
      <c r="A125" s="2" t="s">
        <v>180</v>
      </c>
      <c r="B125" s="2" t="s">
        <v>36</v>
      </c>
      <c r="D125" s="2" t="s">
        <v>17</v>
      </c>
    </row>
    <row r="126" ht="15.75" customHeight="1">
      <c r="A126" s="2" t="s">
        <v>181</v>
      </c>
      <c r="B126" s="2" t="s">
        <v>182</v>
      </c>
      <c r="C126" s="2" t="s">
        <v>183</v>
      </c>
      <c r="D126" s="2" t="s">
        <v>8</v>
      </c>
    </row>
    <row r="127" ht="15.75" customHeight="1">
      <c r="A127" s="2" t="s">
        <v>184</v>
      </c>
      <c r="B127" s="2" t="s">
        <v>185</v>
      </c>
      <c r="C127" s="2" t="s">
        <v>186</v>
      </c>
      <c r="D127" s="2" t="s">
        <v>17</v>
      </c>
    </row>
    <row r="128" ht="15.75" customHeight="1">
      <c r="A128" s="2" t="s">
        <v>118</v>
      </c>
      <c r="B128" s="2" t="s">
        <v>42</v>
      </c>
      <c r="C128" s="2" t="s">
        <v>146</v>
      </c>
      <c r="D128" s="2" t="s">
        <v>17</v>
      </c>
    </row>
    <row r="129" ht="15.75" customHeight="1">
      <c r="A129" s="2" t="s">
        <v>187</v>
      </c>
      <c r="B129" s="2" t="s">
        <v>53</v>
      </c>
      <c r="C129" s="2" t="s">
        <v>188</v>
      </c>
      <c r="D129" s="2" t="s">
        <v>8</v>
      </c>
    </row>
    <row r="130" ht="15.75" customHeight="1">
      <c r="A130" s="2" t="s">
        <v>189</v>
      </c>
      <c r="B130" s="2" t="s">
        <v>36</v>
      </c>
      <c r="C130" s="2" t="s">
        <v>79</v>
      </c>
      <c r="D130" s="2" t="s">
        <v>29</v>
      </c>
    </row>
    <row r="131" ht="15.75" customHeight="1">
      <c r="A131" s="2" t="s">
        <v>108</v>
      </c>
    </row>
    <row r="132" ht="15.75" customHeight="1">
      <c r="A132" s="2" t="s">
        <v>190</v>
      </c>
      <c r="B132" s="2" t="s">
        <v>42</v>
      </c>
      <c r="C132" s="2" t="s">
        <v>22</v>
      </c>
    </row>
    <row r="133" ht="15.75" customHeight="1">
      <c r="A133" s="2" t="s">
        <v>191</v>
      </c>
      <c r="D133" s="2" t="s">
        <v>14</v>
      </c>
    </row>
    <row r="134" ht="15.75" customHeight="1">
      <c r="A134" s="2" t="s">
        <v>192</v>
      </c>
      <c r="B134" s="2" t="s">
        <v>42</v>
      </c>
      <c r="C134" s="2" t="s">
        <v>193</v>
      </c>
      <c r="D134" s="2" t="s">
        <v>17</v>
      </c>
    </row>
    <row r="135" ht="15.75" customHeight="1">
      <c r="A135" s="2" t="s">
        <v>194</v>
      </c>
      <c r="B135" s="2" t="s">
        <v>71</v>
      </c>
      <c r="C135" s="2" t="s">
        <v>30</v>
      </c>
      <c r="D135" s="2" t="s">
        <v>14</v>
      </c>
    </row>
    <row r="136" ht="15.75" customHeight="1">
      <c r="A136" s="2" t="s">
        <v>195</v>
      </c>
      <c r="B136" s="2" t="s">
        <v>196</v>
      </c>
    </row>
    <row r="137" ht="15.75" customHeight="1">
      <c r="A137" s="2" t="s">
        <v>197</v>
      </c>
      <c r="B137" s="2" t="s">
        <v>198</v>
      </c>
      <c r="C137" s="2" t="s">
        <v>22</v>
      </c>
    </row>
    <row r="138" ht="15.75" customHeight="1">
      <c r="A138" s="2" t="s">
        <v>199</v>
      </c>
      <c r="D138" s="2" t="s">
        <v>14</v>
      </c>
    </row>
    <row r="139" ht="15.75" customHeight="1">
      <c r="A139" s="2" t="s">
        <v>48</v>
      </c>
      <c r="B139" s="2" t="s">
        <v>42</v>
      </c>
      <c r="C139" s="2" t="s">
        <v>200</v>
      </c>
      <c r="D139" s="2" t="s">
        <v>16</v>
      </c>
    </row>
    <row r="140" ht="15.75" customHeight="1">
      <c r="A140" s="2" t="s">
        <v>201</v>
      </c>
      <c r="B140" s="2" t="s">
        <v>8</v>
      </c>
      <c r="C140" s="2" t="s">
        <v>16</v>
      </c>
      <c r="D140" s="2" t="s">
        <v>14</v>
      </c>
    </row>
    <row r="141" ht="15.75" customHeight="1">
      <c r="A141" s="2" t="s">
        <v>201</v>
      </c>
      <c r="B141" s="2" t="s">
        <v>8</v>
      </c>
      <c r="C141" s="2" t="s">
        <v>16</v>
      </c>
      <c r="D141" s="2" t="s">
        <v>14</v>
      </c>
    </row>
    <row r="142" ht="15.75" customHeight="1">
      <c r="A142" s="2" t="s">
        <v>202</v>
      </c>
      <c r="B142" s="2" t="s">
        <v>42</v>
      </c>
      <c r="C142" s="2" t="s">
        <v>66</v>
      </c>
      <c r="D142" s="2" t="s">
        <v>14</v>
      </c>
    </row>
    <row r="143" ht="15.75" customHeight="1">
      <c r="A143" s="2" t="s">
        <v>203</v>
      </c>
      <c r="B143" s="2" t="s">
        <v>36</v>
      </c>
      <c r="C143" s="2" t="s">
        <v>13</v>
      </c>
      <c r="D143" s="2" t="s">
        <v>17</v>
      </c>
    </row>
    <row r="144" ht="15.75" customHeight="1">
      <c r="A144" s="2" t="s">
        <v>108</v>
      </c>
      <c r="B144" s="2" t="s">
        <v>24</v>
      </c>
      <c r="C144" s="2" t="s">
        <v>13</v>
      </c>
      <c r="D144" s="2" t="s">
        <v>17</v>
      </c>
    </row>
    <row r="145" ht="15.75" customHeight="1">
      <c r="A145" s="2" t="s">
        <v>204</v>
      </c>
      <c r="B145" s="2" t="s">
        <v>92</v>
      </c>
      <c r="C145" s="2" t="s">
        <v>134</v>
      </c>
      <c r="D145" s="2" t="s">
        <v>29</v>
      </c>
    </row>
    <row r="146" ht="15.75" customHeight="1">
      <c r="A146" s="2" t="s">
        <v>118</v>
      </c>
      <c r="B146" s="2" t="s">
        <v>42</v>
      </c>
      <c r="C146" s="2" t="s">
        <v>205</v>
      </c>
      <c r="D146" s="2" t="s">
        <v>8</v>
      </c>
    </row>
    <row r="147" ht="15.75" customHeight="1">
      <c r="A147" s="2" t="s">
        <v>118</v>
      </c>
      <c r="B147" s="2" t="s">
        <v>42</v>
      </c>
      <c r="C147" s="2" t="s">
        <v>205</v>
      </c>
      <c r="D147" s="2" t="s">
        <v>8</v>
      </c>
    </row>
    <row r="148" ht="15.75" customHeight="1">
      <c r="A148" s="2" t="s">
        <v>206</v>
      </c>
      <c r="D148" s="2" t="s">
        <v>71</v>
      </c>
    </row>
    <row r="149" ht="15.75" customHeight="1">
      <c r="A149" s="2" t="s">
        <v>103</v>
      </c>
      <c r="B149" s="2" t="s">
        <v>92</v>
      </c>
      <c r="C149" s="2" t="s">
        <v>37</v>
      </c>
      <c r="D149" s="2" t="s">
        <v>6</v>
      </c>
    </row>
    <row r="150" ht="15.75" customHeight="1">
      <c r="A150" s="2" t="str">
        <f>==== NOVA LISTA IMPORTADA =====</f>
        <v>#ERROR!</v>
      </c>
    </row>
    <row r="151" ht="15.75" customHeight="1">
      <c r="A151" s="2" t="s">
        <v>207</v>
      </c>
      <c r="B151" s="2" t="s">
        <v>42</v>
      </c>
      <c r="D151" s="2" t="s">
        <v>8</v>
      </c>
    </row>
    <row r="152" ht="15.75" customHeight="1">
      <c r="A152" s="2" t="s">
        <v>208</v>
      </c>
      <c r="B152" s="2" t="s">
        <v>26</v>
      </c>
      <c r="C152" s="2" t="s">
        <v>27</v>
      </c>
      <c r="D152" s="2" t="s">
        <v>8</v>
      </c>
    </row>
    <row r="153" ht="15.75" customHeight="1">
      <c r="A153" s="2" t="s">
        <v>209</v>
      </c>
      <c r="B153" s="2" t="s">
        <v>210</v>
      </c>
      <c r="D153" s="2" t="s">
        <v>14</v>
      </c>
    </row>
    <row r="154" ht="15.75" customHeight="1">
      <c r="A154" s="2" t="s">
        <v>211</v>
      </c>
      <c r="B154" s="2" t="s">
        <v>212</v>
      </c>
      <c r="C154" s="2" t="s">
        <v>213</v>
      </c>
      <c r="D154" s="2" t="s">
        <v>17</v>
      </c>
    </row>
    <row r="155" ht="15.75" customHeight="1">
      <c r="A155" s="2" t="s">
        <v>214</v>
      </c>
      <c r="B155" s="2" t="s">
        <v>42</v>
      </c>
      <c r="C155" s="2" t="s">
        <v>86</v>
      </c>
      <c r="D155" s="2" t="s">
        <v>14</v>
      </c>
    </row>
    <row r="156" ht="15.75" customHeight="1">
      <c r="A156" s="2" t="s">
        <v>41</v>
      </c>
      <c r="B156" s="2" t="s">
        <v>36</v>
      </c>
      <c r="C156" s="2" t="s">
        <v>66</v>
      </c>
      <c r="D156" s="2" t="s">
        <v>26</v>
      </c>
    </row>
    <row r="157" ht="15.75" customHeight="1">
      <c r="A157" s="2" t="s">
        <v>41</v>
      </c>
      <c r="B157" s="2" t="s">
        <v>36</v>
      </c>
      <c r="C157" s="2" t="s">
        <v>66</v>
      </c>
      <c r="D157" s="2" t="s">
        <v>26</v>
      </c>
    </row>
    <row r="158" ht="15.75" customHeight="1">
      <c r="A158" s="2" t="s">
        <v>151</v>
      </c>
      <c r="B158" s="2" t="s">
        <v>71</v>
      </c>
      <c r="C158" s="2" t="s">
        <v>22</v>
      </c>
      <c r="D158" s="2" t="s">
        <v>8</v>
      </c>
    </row>
    <row r="159" ht="15.75" customHeight="1">
      <c r="A159" s="2" t="s">
        <v>215</v>
      </c>
      <c r="B159" s="2" t="s">
        <v>29</v>
      </c>
      <c r="C159" s="2" t="s">
        <v>79</v>
      </c>
      <c r="D159" s="2" t="s">
        <v>17</v>
      </c>
    </row>
    <row r="160" ht="15.75" customHeight="1">
      <c r="A160" s="2" t="s">
        <v>216</v>
      </c>
      <c r="B160" s="2" t="s">
        <v>42</v>
      </c>
      <c r="C160" s="2" t="s">
        <v>19</v>
      </c>
      <c r="D160" s="2" t="s">
        <v>14</v>
      </c>
    </row>
    <row r="161" ht="15.75" customHeight="1">
      <c r="A161" s="2" t="s">
        <v>217</v>
      </c>
      <c r="B161" s="2" t="s">
        <v>36</v>
      </c>
      <c r="C161" s="2" t="s">
        <v>60</v>
      </c>
      <c r="D161" s="2" t="s">
        <v>17</v>
      </c>
    </row>
    <row r="162" ht="15.75" customHeight="1">
      <c r="A162" s="2" t="s">
        <v>218</v>
      </c>
      <c r="B162" s="2" t="s">
        <v>6</v>
      </c>
      <c r="C162" s="2" t="s">
        <v>219</v>
      </c>
      <c r="D162" s="2" t="s">
        <v>17</v>
      </c>
    </row>
    <row r="163" ht="15.75" customHeight="1">
      <c r="A163" s="2" t="s">
        <v>67</v>
      </c>
      <c r="C163" s="2" t="s">
        <v>220</v>
      </c>
      <c r="D163" s="2" t="s">
        <v>17</v>
      </c>
    </row>
    <row r="164" ht="15.75" customHeight="1">
      <c r="A164" s="2" t="s">
        <v>221</v>
      </c>
      <c r="B164" s="2" t="s">
        <v>78</v>
      </c>
      <c r="C164" s="2" t="s">
        <v>98</v>
      </c>
      <c r="D164" s="2" t="s">
        <v>17</v>
      </c>
    </row>
    <row r="165" ht="15.75" customHeight="1">
      <c r="A165" s="2" t="s">
        <v>222</v>
      </c>
      <c r="B165" s="2" t="s">
        <v>65</v>
      </c>
      <c r="C165" s="2" t="s">
        <v>98</v>
      </c>
    </row>
    <row r="166" ht="15.75" customHeight="1">
      <c r="A166" s="2" t="s">
        <v>223</v>
      </c>
      <c r="B166" s="2" t="s">
        <v>16</v>
      </c>
      <c r="C166" s="2" t="s">
        <v>7</v>
      </c>
      <c r="D166" s="2" t="s">
        <v>14</v>
      </c>
    </row>
    <row r="167" ht="15.75" customHeight="1">
      <c r="A167" s="2" t="s">
        <v>170</v>
      </c>
      <c r="B167" s="2" t="s">
        <v>78</v>
      </c>
      <c r="C167" s="2" t="s">
        <v>205</v>
      </c>
      <c r="D167" s="2" t="s">
        <v>8</v>
      </c>
    </row>
    <row r="168" ht="15.75" customHeight="1">
      <c r="A168" s="2" t="s">
        <v>224</v>
      </c>
      <c r="B168" s="2" t="s">
        <v>225</v>
      </c>
      <c r="D168" s="2" t="s">
        <v>8</v>
      </c>
    </row>
    <row r="169" ht="15.75" customHeight="1">
      <c r="A169" s="2" t="s">
        <v>224</v>
      </c>
      <c r="B169" s="2" t="s">
        <v>225</v>
      </c>
      <c r="D169" s="2" t="s">
        <v>8</v>
      </c>
    </row>
    <row r="170" ht="15.75" customHeight="1">
      <c r="A170" s="2" t="s">
        <v>226</v>
      </c>
      <c r="B170" s="2" t="s">
        <v>29</v>
      </c>
      <c r="C170" s="2" t="s">
        <v>22</v>
      </c>
      <c r="D170" s="2" t="s">
        <v>8</v>
      </c>
    </row>
    <row r="171" ht="15.75" customHeight="1">
      <c r="A171" s="2" t="s">
        <v>161</v>
      </c>
      <c r="C171" s="2" t="s">
        <v>227</v>
      </c>
      <c r="D171" s="2" t="s">
        <v>8</v>
      </c>
    </row>
    <row r="172" ht="15.75" customHeight="1">
      <c r="A172" s="2" t="s">
        <v>228</v>
      </c>
      <c r="B172" s="2" t="s">
        <v>229</v>
      </c>
      <c r="C172" s="2" t="s">
        <v>66</v>
      </c>
      <c r="D172" s="2" t="s">
        <v>17</v>
      </c>
    </row>
    <row r="173" ht="15.75" customHeight="1">
      <c r="A173" s="2" t="s">
        <v>230</v>
      </c>
      <c r="B173" s="2" t="s">
        <v>42</v>
      </c>
      <c r="C173" s="2" t="s">
        <v>98</v>
      </c>
      <c r="D173" s="2" t="s">
        <v>50</v>
      </c>
    </row>
    <row r="174" ht="15.75" customHeight="1">
      <c r="A174" s="2" t="s">
        <v>230</v>
      </c>
      <c r="B174" s="2" t="s">
        <v>42</v>
      </c>
      <c r="C174" s="2" t="s">
        <v>98</v>
      </c>
      <c r="D174" s="2" t="s">
        <v>50</v>
      </c>
    </row>
    <row r="175" ht="15.75" customHeight="1">
      <c r="A175" s="2" t="s">
        <v>231</v>
      </c>
      <c r="B175" s="2" t="s">
        <v>232</v>
      </c>
      <c r="C175" s="2" t="s">
        <v>55</v>
      </c>
      <c r="D175" s="2" t="s">
        <v>14</v>
      </c>
    </row>
    <row r="176" ht="15.75" customHeight="1">
      <c r="A176" s="2" t="s">
        <v>233</v>
      </c>
      <c r="B176" s="2" t="s">
        <v>234</v>
      </c>
      <c r="C176" s="2" t="s">
        <v>16</v>
      </c>
      <c r="D176" s="2" t="s">
        <v>17</v>
      </c>
    </row>
    <row r="177" ht="15.75" customHeight="1">
      <c r="A177" s="2" t="s">
        <v>235</v>
      </c>
      <c r="B177" s="2" t="s">
        <v>16</v>
      </c>
      <c r="C177" s="2" t="s">
        <v>55</v>
      </c>
      <c r="D177" s="2" t="s">
        <v>6</v>
      </c>
    </row>
    <row r="178" ht="15.75" customHeight="1">
      <c r="A178" s="2" t="s">
        <v>236</v>
      </c>
      <c r="C178" s="2" t="s">
        <v>37</v>
      </c>
    </row>
    <row r="179" ht="15.75" customHeight="1">
      <c r="A179" s="2" t="s">
        <v>94</v>
      </c>
      <c r="C179" s="2" t="s">
        <v>66</v>
      </c>
      <c r="D179" s="2" t="s">
        <v>14</v>
      </c>
    </row>
    <row r="180" ht="15.75" customHeight="1">
      <c r="A180" s="2" t="s">
        <v>237</v>
      </c>
      <c r="B180" s="2" t="s">
        <v>238</v>
      </c>
      <c r="C180" s="2" t="s">
        <v>37</v>
      </c>
      <c r="D180" s="2" t="s">
        <v>17</v>
      </c>
    </row>
    <row r="181" ht="15.75" customHeight="1">
      <c r="A181" s="2" t="s">
        <v>239</v>
      </c>
      <c r="B181" s="2" t="s">
        <v>36</v>
      </c>
      <c r="C181" s="2" t="s">
        <v>55</v>
      </c>
      <c r="D181" s="2" t="s">
        <v>17</v>
      </c>
    </row>
    <row r="182" ht="15.75" customHeight="1">
      <c r="A182" s="2" t="s">
        <v>240</v>
      </c>
      <c r="B182" s="2" t="s">
        <v>42</v>
      </c>
      <c r="C182" s="2" t="s">
        <v>183</v>
      </c>
      <c r="D182" s="2" t="s">
        <v>6</v>
      </c>
    </row>
    <row r="183" ht="15.75" customHeight="1">
      <c r="A183" s="2" t="s">
        <v>241</v>
      </c>
      <c r="B183" s="2" t="s">
        <v>242</v>
      </c>
      <c r="C183" s="2" t="s">
        <v>134</v>
      </c>
      <c r="D183" s="2" t="s">
        <v>8</v>
      </c>
    </row>
    <row r="184" ht="15.75" customHeight="1">
      <c r="A184" s="2" t="s">
        <v>147</v>
      </c>
      <c r="B184" s="2" t="s">
        <v>243</v>
      </c>
    </row>
    <row r="185" ht="15.75" customHeight="1">
      <c r="A185" s="2" t="s">
        <v>244</v>
      </c>
      <c r="B185" s="2" t="s">
        <v>65</v>
      </c>
      <c r="C185" s="2" t="s">
        <v>66</v>
      </c>
      <c r="D185" s="2" t="s">
        <v>17</v>
      </c>
    </row>
    <row r="186" ht="15.75" customHeight="1">
      <c r="A186" s="2" t="s">
        <v>245</v>
      </c>
      <c r="B186" s="2" t="s">
        <v>246</v>
      </c>
      <c r="D186" s="2" t="s">
        <v>14</v>
      </c>
    </row>
    <row r="187" ht="15.75" customHeight="1">
      <c r="A187" s="2" t="s">
        <v>245</v>
      </c>
      <c r="B187" s="2" t="s">
        <v>246</v>
      </c>
      <c r="D187" s="2" t="s">
        <v>14</v>
      </c>
    </row>
    <row r="188" ht="15.75" customHeight="1">
      <c r="A188" s="2" t="s">
        <v>247</v>
      </c>
      <c r="B188" s="2" t="s">
        <v>42</v>
      </c>
      <c r="C188" s="2" t="s">
        <v>248</v>
      </c>
      <c r="D188" s="2" t="s">
        <v>29</v>
      </c>
    </row>
    <row r="189" ht="15.75" customHeight="1">
      <c r="A189" s="2" t="s">
        <v>249</v>
      </c>
      <c r="B189" s="2" t="s">
        <v>42</v>
      </c>
      <c r="C189" s="2" t="s">
        <v>10</v>
      </c>
      <c r="D189" s="2" t="s">
        <v>71</v>
      </c>
    </row>
    <row r="190" ht="15.75" customHeight="1">
      <c r="A190" s="2" t="s">
        <v>250</v>
      </c>
      <c r="B190" s="2" t="s">
        <v>36</v>
      </c>
      <c r="C190" s="2" t="s">
        <v>16</v>
      </c>
    </row>
    <row r="191" ht="15.75" customHeight="1">
      <c r="A191" s="2" t="s">
        <v>251</v>
      </c>
      <c r="B191" s="2" t="s">
        <v>65</v>
      </c>
      <c r="C191" s="2" t="s">
        <v>16</v>
      </c>
      <c r="D191" s="2" t="s">
        <v>14</v>
      </c>
    </row>
    <row r="192" ht="15.75" customHeight="1">
      <c r="A192" s="2" t="s">
        <v>252</v>
      </c>
      <c r="B192" s="2" t="s">
        <v>253</v>
      </c>
      <c r="D192" s="2" t="s">
        <v>14</v>
      </c>
    </row>
    <row r="193" ht="15.75" customHeight="1">
      <c r="A193" s="2" t="s">
        <v>118</v>
      </c>
      <c r="B193" s="2" t="s">
        <v>8</v>
      </c>
      <c r="C193" s="2" t="s">
        <v>116</v>
      </c>
      <c r="D193" s="2" t="s">
        <v>29</v>
      </c>
    </row>
    <row r="194" ht="15.75" customHeight="1">
      <c r="A194" s="2" t="s">
        <v>254</v>
      </c>
      <c r="B194" s="2" t="s">
        <v>78</v>
      </c>
      <c r="C194" s="2" t="s">
        <v>55</v>
      </c>
      <c r="D194" s="2" t="s">
        <v>8</v>
      </c>
    </row>
    <row r="195" ht="15.75" customHeight="1">
      <c r="A195" s="2" t="s">
        <v>255</v>
      </c>
      <c r="B195" s="2" t="s">
        <v>256</v>
      </c>
      <c r="C195" s="2" t="s">
        <v>257</v>
      </c>
      <c r="D195" s="2" t="s">
        <v>17</v>
      </c>
    </row>
    <row r="196" ht="15.75" customHeight="1">
      <c r="A196" s="2" t="s">
        <v>258</v>
      </c>
      <c r="B196" s="2" t="s">
        <v>50</v>
      </c>
      <c r="C196" s="2" t="s">
        <v>259</v>
      </c>
    </row>
    <row r="197" ht="15.75" customHeight="1">
      <c r="A197" s="2" t="s">
        <v>258</v>
      </c>
      <c r="B197" s="2" t="s">
        <v>50</v>
      </c>
      <c r="C197" s="2" t="s">
        <v>259</v>
      </c>
    </row>
    <row r="198" ht="15.75" customHeight="1">
      <c r="A198" s="2" t="s">
        <v>260</v>
      </c>
      <c r="B198" s="2" t="s">
        <v>42</v>
      </c>
      <c r="C198" s="2" t="s">
        <v>261</v>
      </c>
      <c r="D198" s="2" t="s">
        <v>17</v>
      </c>
    </row>
    <row r="199" ht="15.75" customHeight="1">
      <c r="A199" s="2" t="s">
        <v>260</v>
      </c>
      <c r="B199" s="2" t="s">
        <v>42</v>
      </c>
      <c r="C199" s="2" t="s">
        <v>261</v>
      </c>
      <c r="D199" s="2" t="s">
        <v>17</v>
      </c>
    </row>
    <row r="200" ht="15.75" customHeight="1">
      <c r="A200" s="2" t="s">
        <v>262</v>
      </c>
      <c r="C200" s="2" t="s">
        <v>19</v>
      </c>
    </row>
    <row r="201" ht="15.75" customHeight="1">
      <c r="A201" s="2" t="s">
        <v>263</v>
      </c>
      <c r="B201" s="2" t="s">
        <v>264</v>
      </c>
      <c r="C201" s="2" t="s">
        <v>265</v>
      </c>
      <c r="D201" s="2" t="s">
        <v>8</v>
      </c>
    </row>
    <row r="202" ht="15.75" customHeight="1">
      <c r="A202" s="2" t="s">
        <v>266</v>
      </c>
      <c r="B202" s="2" t="s">
        <v>50</v>
      </c>
      <c r="C202" s="2" t="s">
        <v>22</v>
      </c>
      <c r="D202" s="2" t="s">
        <v>14</v>
      </c>
    </row>
    <row r="203" ht="15.75" customHeight="1">
      <c r="A203" s="2" t="s">
        <v>267</v>
      </c>
      <c r="B203" s="2" t="s">
        <v>42</v>
      </c>
      <c r="C203" s="2" t="s">
        <v>268</v>
      </c>
      <c r="D203" s="2" t="s">
        <v>14</v>
      </c>
    </row>
    <row r="204" ht="15.75" customHeight="1">
      <c r="A204" s="2" t="s">
        <v>269</v>
      </c>
      <c r="B204" s="2" t="s">
        <v>196</v>
      </c>
      <c r="C204" s="2" t="s">
        <v>55</v>
      </c>
      <c r="D204" s="2" t="s">
        <v>8</v>
      </c>
    </row>
    <row r="205" ht="15.75" customHeight="1">
      <c r="A205" s="2" t="s">
        <v>270</v>
      </c>
      <c r="B205" s="2" t="s">
        <v>26</v>
      </c>
      <c r="C205" s="2" t="s">
        <v>166</v>
      </c>
      <c r="D205" s="2" t="s">
        <v>53</v>
      </c>
    </row>
    <row r="206" ht="15.75" customHeight="1">
      <c r="A206" s="2" t="s">
        <v>271</v>
      </c>
      <c r="B206" s="2" t="s">
        <v>29</v>
      </c>
      <c r="C206" s="2" t="s">
        <v>86</v>
      </c>
      <c r="D206" s="2" t="s">
        <v>17</v>
      </c>
    </row>
    <row r="207" ht="15.75" customHeight="1">
      <c r="A207" s="2" t="s">
        <v>271</v>
      </c>
      <c r="B207" s="2" t="s">
        <v>29</v>
      </c>
      <c r="C207" s="2" t="s">
        <v>86</v>
      </c>
      <c r="D207" s="2" t="s">
        <v>17</v>
      </c>
    </row>
    <row r="208" ht="15.75" customHeight="1">
      <c r="A208" s="2" t="s">
        <v>100</v>
      </c>
      <c r="B208" s="2" t="s">
        <v>42</v>
      </c>
      <c r="C208" s="2" t="s">
        <v>272</v>
      </c>
    </row>
    <row r="209" ht="15.75" customHeight="1">
      <c r="A209" s="2" t="s">
        <v>273</v>
      </c>
      <c r="B209" s="2" t="s">
        <v>92</v>
      </c>
      <c r="C209" s="2" t="s">
        <v>183</v>
      </c>
      <c r="D209" s="2" t="s">
        <v>71</v>
      </c>
    </row>
    <row r="210" ht="15.75" customHeight="1">
      <c r="A210" s="2" t="s">
        <v>274</v>
      </c>
      <c r="B210" s="2" t="s">
        <v>92</v>
      </c>
      <c r="C210" s="2" t="s">
        <v>66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29.43"/>
    <col customWidth="1" min="5" max="6" width="35.0"/>
    <col customWidth="1" min="7" max="28" width="8.71"/>
  </cols>
  <sheetData>
    <row r="1">
      <c r="A1" s="2" t="s">
        <v>275</v>
      </c>
      <c r="B1" s="2" t="s">
        <v>276</v>
      </c>
      <c r="C1" s="2" t="s">
        <v>277</v>
      </c>
      <c r="E1" s="3" t="s">
        <v>278</v>
      </c>
      <c r="F1" s="2" t="s">
        <v>4</v>
      </c>
    </row>
    <row r="2">
      <c r="A2" s="2" t="s">
        <v>279</v>
      </c>
      <c r="B2" s="2" t="s">
        <v>22</v>
      </c>
      <c r="C2" s="2" t="s">
        <v>27</v>
      </c>
      <c r="D2" s="4" t="str">
        <f>TIRARACENTOS(C2)</f>
        <v>#NAME?</v>
      </c>
      <c r="E2" s="4" t="str">
        <f>IFERROR(__xludf.DUMMYFUNCTION("REGEXEXTRACT(C2,""(\(?\d{2}\)?\s?9?\d{4,5}-?\d{4})"")"),"#N/A")</f>
        <v>#N/A</v>
      </c>
      <c r="F2" s="2" t="s">
        <v>16</v>
      </c>
      <c r="H2" s="2" t="s">
        <v>280</v>
      </c>
    </row>
    <row r="3">
      <c r="A3" s="2" t="s">
        <v>281</v>
      </c>
      <c r="B3" s="2" t="s">
        <v>37</v>
      </c>
      <c r="C3" s="2" t="s">
        <v>282</v>
      </c>
      <c r="D3" s="4"/>
      <c r="E3" s="4" t="str">
        <f>IFERROR(__xludf.DUMMYFUNCTION("REGEXEXTRACT(C3,""(\(?\d{2}\)?\s?9?\d{4,5}-?\d{4})"")"),"67999993451")</f>
        <v>67999993451</v>
      </c>
      <c r="F3" s="2" t="s">
        <v>6</v>
      </c>
    </row>
    <row r="4">
      <c r="A4" s="2" t="s">
        <v>283</v>
      </c>
      <c r="B4" s="2" t="s">
        <v>98</v>
      </c>
      <c r="C4" s="2" t="s">
        <v>284</v>
      </c>
      <c r="D4" s="4"/>
      <c r="E4" s="4" t="str">
        <f>IFERROR(__xludf.DUMMYFUNCTION("REGEXEXTRACT(C4,""(\(?\d{2}\)?\s?9?\d{4,5}-?\d{4})"")"),"90999991508")</f>
        <v>90999991508</v>
      </c>
      <c r="F4" s="2" t="s">
        <v>71</v>
      </c>
    </row>
    <row r="5">
      <c r="A5" s="2" t="s">
        <v>285</v>
      </c>
      <c r="B5" s="2" t="s">
        <v>10</v>
      </c>
      <c r="C5" s="2" t="s">
        <v>286</v>
      </c>
      <c r="D5" s="4"/>
      <c r="E5" s="4" t="str">
        <f>IFERROR(__xludf.DUMMYFUNCTION("REGEXEXTRACT(C5,""(\(?\d{2}\)?\s?9?\d{4,5}-?\d{4})"")"),"23999997110")</f>
        <v>23999997110</v>
      </c>
      <c r="F5" s="2" t="s">
        <v>71</v>
      </c>
    </row>
    <row r="6">
      <c r="A6" s="2" t="s">
        <v>279</v>
      </c>
      <c r="B6" s="2" t="s">
        <v>166</v>
      </c>
      <c r="C6" s="2" t="s">
        <v>287</v>
      </c>
      <c r="D6" s="4"/>
      <c r="E6" s="4" t="str">
        <f>IFERROR(__xludf.DUMMYFUNCTION("REGEXEXTRACT(C6,""(\(?\d{2}\)?\s?9?\d{4,5}-?\d{4})"")"),"77999991611")</f>
        <v>77999991611</v>
      </c>
      <c r="F6" s="2" t="s">
        <v>6</v>
      </c>
    </row>
    <row r="7">
      <c r="A7" s="2" t="s">
        <v>288</v>
      </c>
      <c r="B7" s="2" t="s">
        <v>259</v>
      </c>
      <c r="C7" s="2" t="s">
        <v>289</v>
      </c>
      <c r="D7" s="4"/>
      <c r="E7" s="4" t="str">
        <f>IFERROR(__xludf.DUMMYFUNCTION("REGEXEXTRACT(C7,""(\(?\d{2}\)?\s?9?\d{4,5}-?\d{4})"")"),"78999992155")</f>
        <v>78999992155</v>
      </c>
      <c r="F7" s="2" t="s">
        <v>71</v>
      </c>
    </row>
    <row r="8">
      <c r="A8" s="2" t="s">
        <v>290</v>
      </c>
      <c r="B8" s="2" t="s">
        <v>98</v>
      </c>
      <c r="C8" s="2" t="s">
        <v>291</v>
      </c>
      <c r="D8" s="4"/>
      <c r="E8" s="4" t="str">
        <f>IFERROR(__xludf.DUMMYFUNCTION("REGEXEXTRACT(C8,""(\(?\d{2}\)?\s?9?\d{4,5}-?\d{4})"")"),"65999991068")</f>
        <v>65999991068</v>
      </c>
      <c r="F8" s="2" t="s">
        <v>16</v>
      </c>
      <c r="H8" s="2" t="s">
        <v>292</v>
      </c>
    </row>
    <row r="9">
      <c r="A9" s="2" t="s">
        <v>290</v>
      </c>
      <c r="B9" s="2" t="s">
        <v>10</v>
      </c>
      <c r="C9" s="2" t="s">
        <v>293</v>
      </c>
      <c r="D9" s="4"/>
      <c r="E9" s="4" t="str">
        <f>IFERROR(__xludf.DUMMYFUNCTION("REGEXEXTRACT(C9,""(\(?\d{2}\)?\s?9?\d{4,5}-?\d{4})"")"),"#N/A")</f>
        <v>#N/A</v>
      </c>
      <c r="F9" s="2" t="s">
        <v>71</v>
      </c>
    </row>
    <row r="10">
      <c r="A10" s="2" t="s">
        <v>294</v>
      </c>
      <c r="B10" s="2" t="s">
        <v>22</v>
      </c>
      <c r="C10" s="2" t="s">
        <v>27</v>
      </c>
      <c r="D10" s="4"/>
      <c r="E10" s="4" t="str">
        <f>IFERROR(__xludf.DUMMYFUNCTION("REGEXEXTRACT(C10,""(\(?\d{2}\)?\s?9?\d{4,5}-?\d{4})"")"),"#N/A")</f>
        <v>#N/A</v>
      </c>
      <c r="F10" s="2" t="s">
        <v>50</v>
      </c>
    </row>
    <row r="11">
      <c r="A11" s="2" t="s">
        <v>295</v>
      </c>
      <c r="B11" s="2" t="s">
        <v>55</v>
      </c>
      <c r="C11" s="2" t="s">
        <v>296</v>
      </c>
      <c r="D11" s="4"/>
      <c r="E11" s="4" t="str">
        <f>IFERROR(__xludf.DUMMYFUNCTION("REGEXEXTRACT(C11,""(\(?\d{2}\)?\s?9?\d{4,5}-?\d{4})"")"),"61999999149")</f>
        <v>61999999149</v>
      </c>
      <c r="F11" s="2" t="s">
        <v>53</v>
      </c>
    </row>
    <row r="12">
      <c r="A12" s="2" t="s">
        <v>297</v>
      </c>
      <c r="B12" s="2" t="s">
        <v>22</v>
      </c>
      <c r="C12" s="2" t="s">
        <v>298</v>
      </c>
      <c r="D12" s="4"/>
      <c r="E12" s="4" t="str">
        <f>IFERROR(__xludf.DUMMYFUNCTION("REGEXEXTRACT(C12,""(\(?\d{2}\)?\s?9?\d{4,5}-?\d{4})"")"),"72999995487")</f>
        <v>72999995487</v>
      </c>
      <c r="F12" s="2" t="s">
        <v>53</v>
      </c>
    </row>
    <row r="13">
      <c r="A13" s="2" t="s">
        <v>294</v>
      </c>
      <c r="B13" s="2" t="s">
        <v>166</v>
      </c>
      <c r="C13" s="2" t="s">
        <v>183</v>
      </c>
      <c r="D13" s="4"/>
      <c r="E13" s="4" t="str">
        <f>IFERROR(__xludf.DUMMYFUNCTION("REGEXEXTRACT(C13,""(\(?\d{2}\)?\s?9?\d{4,5}-?\d{4})"")"),"#N/A")</f>
        <v>#N/A</v>
      </c>
      <c r="F13" s="2" t="s">
        <v>53</v>
      </c>
    </row>
    <row r="14">
      <c r="A14" s="2" t="s">
        <v>295</v>
      </c>
      <c r="B14" s="2" t="s">
        <v>30</v>
      </c>
      <c r="C14" s="2" t="s">
        <v>299</v>
      </c>
      <c r="D14" s="4"/>
      <c r="E14" s="4" t="str">
        <f>IFERROR(__xludf.DUMMYFUNCTION("REGEXEXTRACT(C14,""(\(?\d{2}\)?\s?9?\d{4,5}-?\d{4})"")"),"#N/A")</f>
        <v>#N/A</v>
      </c>
      <c r="F14" s="2" t="s">
        <v>26</v>
      </c>
    </row>
    <row r="15">
      <c r="A15" s="2" t="s">
        <v>297</v>
      </c>
      <c r="B15" s="2" t="s">
        <v>22</v>
      </c>
      <c r="C15" s="2" t="s">
        <v>300</v>
      </c>
      <c r="D15" s="4"/>
      <c r="E15" s="4" t="str">
        <f>IFERROR(__xludf.DUMMYFUNCTION("REGEXEXTRACT(C15,""(\(?\d{2}\)?\s?9?\d{4,5}-?\d{4})"")"),"54999994970")</f>
        <v>54999994970</v>
      </c>
      <c r="F15" s="2" t="s">
        <v>29</v>
      </c>
    </row>
    <row r="16">
      <c r="A16" s="2" t="s">
        <v>290</v>
      </c>
      <c r="B16" s="2" t="s">
        <v>30</v>
      </c>
      <c r="C16" s="2" t="s">
        <v>301</v>
      </c>
      <c r="D16" s="4"/>
      <c r="E16" s="4" t="str">
        <f>IFERROR(__xludf.DUMMYFUNCTION("REGEXEXTRACT(C16,""(\(?\d{2}\)?\s?9?\d{4,5}-?\d{4})"")"),"49999998252")</f>
        <v>49999998252</v>
      </c>
      <c r="F16" s="2" t="s">
        <v>50</v>
      </c>
    </row>
    <row r="17">
      <c r="A17" s="2" t="s">
        <v>288</v>
      </c>
      <c r="B17" s="2" t="s">
        <v>37</v>
      </c>
      <c r="C17" s="2" t="s">
        <v>302</v>
      </c>
      <c r="D17" s="4"/>
      <c r="E17" s="4" t="str">
        <f>IFERROR(__xludf.DUMMYFUNCTION("REGEXEXTRACT(C17,""(\(?\d{2}\)?\s?9?\d{4,5}-?\d{4})"")"),"29999994011")</f>
        <v>29999994011</v>
      </c>
      <c r="F17" s="2" t="s">
        <v>53</v>
      </c>
    </row>
    <row r="18">
      <c r="A18" s="2" t="s">
        <v>297</v>
      </c>
      <c r="B18" s="2" t="s">
        <v>30</v>
      </c>
      <c r="C18" s="2" t="s">
        <v>299</v>
      </c>
      <c r="D18" s="4"/>
      <c r="E18" s="4" t="str">
        <f>IFERROR(__xludf.DUMMYFUNCTION("REGEXEXTRACT(C18,""(\(?\d{2}\)?\s?9?\d{4,5}-?\d{4})"")"),"#N/A")</f>
        <v>#N/A</v>
      </c>
      <c r="F18" s="2" t="s">
        <v>71</v>
      </c>
    </row>
    <row r="19">
      <c r="A19" s="2" t="s">
        <v>303</v>
      </c>
      <c r="B19" s="2" t="s">
        <v>30</v>
      </c>
      <c r="C19" s="2" t="s">
        <v>304</v>
      </c>
      <c r="D19" s="4"/>
      <c r="E19" s="4" t="str">
        <f>IFERROR(__xludf.DUMMYFUNCTION("REGEXEXTRACT(C19,""(\(?\d{2}\)?\s?9?\d{4,5}-?\d{4})"")"),"54999999147")</f>
        <v>54999999147</v>
      </c>
      <c r="F19" s="2" t="s">
        <v>71</v>
      </c>
    </row>
    <row r="20">
      <c r="A20" s="2" t="s">
        <v>279</v>
      </c>
      <c r="B20" s="2" t="s">
        <v>259</v>
      </c>
      <c r="C20" s="2" t="s">
        <v>305</v>
      </c>
      <c r="D20" s="4"/>
      <c r="E20" s="4" t="str">
        <f>IFERROR(__xludf.DUMMYFUNCTION("REGEXEXTRACT(C20,""(\(?\d{2}\)?\s?9?\d{4,5}-?\d{4})"")"),"19999993653")</f>
        <v>19999993653</v>
      </c>
      <c r="F20" s="2" t="s">
        <v>50</v>
      </c>
    </row>
    <row r="21" ht="15.75" customHeight="1">
      <c r="A21" s="2" t="s">
        <v>281</v>
      </c>
      <c r="B21" s="2" t="s">
        <v>166</v>
      </c>
      <c r="C21" s="2" t="s">
        <v>306</v>
      </c>
      <c r="D21" s="4"/>
      <c r="E21" s="4" t="str">
        <f>IFERROR(__xludf.DUMMYFUNCTION("REGEXEXTRACT(C21,""(\(?\d{2}\)?\s?9?\d{4,5}-?\d{4})"")"),"87999995590")</f>
        <v>87999995590</v>
      </c>
      <c r="F21" s="2" t="s">
        <v>26</v>
      </c>
    </row>
    <row r="22" ht="15.75" customHeight="1">
      <c r="A22" s="2" t="s">
        <v>307</v>
      </c>
      <c r="B22" s="2" t="s">
        <v>30</v>
      </c>
      <c r="C22" s="2" t="s">
        <v>299</v>
      </c>
      <c r="D22" s="4"/>
      <c r="E22" s="4" t="str">
        <f>IFERROR(__xludf.DUMMYFUNCTION("REGEXEXTRACT(C22,""(\(?\d{2}\)?\s?9?\d{4,5}-?\d{4})"")"),"#N/A")</f>
        <v>#N/A</v>
      </c>
      <c r="F22" s="2" t="s">
        <v>50</v>
      </c>
    </row>
    <row r="23" ht="15.75" customHeight="1">
      <c r="A23" s="2" t="s">
        <v>297</v>
      </c>
      <c r="B23" s="2" t="s">
        <v>10</v>
      </c>
      <c r="C23" s="2" t="s">
        <v>308</v>
      </c>
      <c r="D23" s="4"/>
      <c r="E23" s="4" t="str">
        <f>IFERROR(__xludf.DUMMYFUNCTION("REGEXEXTRACT(C23,""(\(?\d{2}\)?\s?9?\d{4,5}-?\d{4})"")"),"83999996664")</f>
        <v>83999996664</v>
      </c>
      <c r="F23" s="2" t="s">
        <v>29</v>
      </c>
    </row>
    <row r="24" ht="15.75" customHeight="1">
      <c r="A24" s="2" t="s">
        <v>285</v>
      </c>
      <c r="B24" s="2" t="s">
        <v>98</v>
      </c>
      <c r="C24" s="2" t="s">
        <v>309</v>
      </c>
      <c r="D24" s="4"/>
      <c r="E24" s="4" t="str">
        <f>IFERROR(__xludf.DUMMYFUNCTION("REGEXEXTRACT(C24,""(\(?\d{2}\)?\s?9?\d{4,5}-?\d{4})"")"),"53999997648")</f>
        <v>53999997648</v>
      </c>
      <c r="F24" s="2" t="s">
        <v>71</v>
      </c>
    </row>
    <row r="25" ht="15.75" customHeight="1">
      <c r="A25" s="2" t="s">
        <v>310</v>
      </c>
      <c r="B25" s="2" t="s">
        <v>22</v>
      </c>
      <c r="C25" s="2" t="s">
        <v>27</v>
      </c>
      <c r="D25" s="4"/>
      <c r="E25" s="4" t="str">
        <f>IFERROR(__xludf.DUMMYFUNCTION("REGEXEXTRACT(C25,""(\(?\d{2}\)?\s?9?\d{4,5}-?\d{4})"")"),"#N/A")</f>
        <v>#N/A</v>
      </c>
      <c r="F25" s="2" t="s">
        <v>50</v>
      </c>
    </row>
    <row r="26" ht="15.75" customHeight="1">
      <c r="A26" s="2" t="s">
        <v>303</v>
      </c>
      <c r="B26" s="2" t="s">
        <v>10</v>
      </c>
      <c r="C26" s="2" t="s">
        <v>311</v>
      </c>
      <c r="D26" s="4"/>
      <c r="E26" s="4" t="str">
        <f>IFERROR(__xludf.DUMMYFUNCTION("REGEXEXTRACT(C26,""(\(?\d{2}\)?\s?9?\d{4,5}-?\d{4})"")"),"79999999690")</f>
        <v>79999999690</v>
      </c>
      <c r="F26" s="2" t="s">
        <v>26</v>
      </c>
    </row>
    <row r="27" ht="15.75" customHeight="1">
      <c r="A27" s="2" t="s">
        <v>290</v>
      </c>
      <c r="B27" s="2" t="s">
        <v>259</v>
      </c>
      <c r="C27" s="2" t="s">
        <v>312</v>
      </c>
      <c r="D27" s="4"/>
      <c r="E27" s="4" t="str">
        <f>IFERROR(__xludf.DUMMYFUNCTION("REGEXEXTRACT(C27,""(\(?\d{2}\)?\s?9?\d{4,5}-?\d{4})"")"),"60999991440")</f>
        <v>60999991440</v>
      </c>
      <c r="F27" s="2" t="s">
        <v>71</v>
      </c>
    </row>
    <row r="28" ht="15.75" customHeight="1">
      <c r="A28" s="2" t="s">
        <v>279</v>
      </c>
      <c r="B28" s="2" t="s">
        <v>19</v>
      </c>
      <c r="C28" s="2" t="s">
        <v>313</v>
      </c>
      <c r="D28" s="4"/>
      <c r="E28" s="4" t="str">
        <f>IFERROR(__xludf.DUMMYFUNCTION("REGEXEXTRACT(C28,""(\(?\d{2}\)?\s?9?\d{4,5}-?\d{4})"")"),"43999994918")</f>
        <v>43999994918</v>
      </c>
      <c r="F28" s="2" t="s">
        <v>16</v>
      </c>
    </row>
    <row r="29" ht="15.75" customHeight="1">
      <c r="A29" s="2" t="s">
        <v>294</v>
      </c>
      <c r="B29" s="2" t="s">
        <v>55</v>
      </c>
      <c r="C29" s="2" t="s">
        <v>60</v>
      </c>
      <c r="D29" s="4"/>
      <c r="E29" s="4" t="str">
        <f>IFERROR(__xludf.DUMMYFUNCTION("REGEXEXTRACT(C29,""(\(?\d{2}\)?\s?9?\d{4,5}-?\d{4})"")"),"#N/A")</f>
        <v>#N/A</v>
      </c>
      <c r="F29" s="2" t="s">
        <v>26</v>
      </c>
    </row>
    <row r="30" ht="15.75" customHeight="1">
      <c r="A30" s="2" t="s">
        <v>294</v>
      </c>
      <c r="B30" s="2" t="s">
        <v>166</v>
      </c>
      <c r="C30" s="2" t="s">
        <v>183</v>
      </c>
      <c r="D30" s="4"/>
      <c r="E30" s="4" t="str">
        <f>IFERROR(__xludf.DUMMYFUNCTION("REGEXEXTRACT(C30,""(\(?\d{2}\)?\s?9?\d{4,5}-?\d{4})"")"),"#N/A")</f>
        <v>#N/A</v>
      </c>
      <c r="F30" s="2" t="s">
        <v>16</v>
      </c>
    </row>
    <row r="31" ht="15.75" customHeight="1">
      <c r="A31" s="2" t="s">
        <v>288</v>
      </c>
      <c r="B31" s="2" t="s">
        <v>166</v>
      </c>
      <c r="C31" s="2" t="s">
        <v>314</v>
      </c>
      <c r="D31" s="4"/>
      <c r="E31" s="4" t="str">
        <f>IFERROR(__xludf.DUMMYFUNCTION("REGEXEXTRACT(C31,""(\(?\d{2}\)?\s?9?\d{4,5}-?\d{4})"")"),"73999998546")</f>
        <v>73999998546</v>
      </c>
      <c r="F31" s="2" t="s">
        <v>6</v>
      </c>
    </row>
    <row r="32" ht="15.75" customHeight="1">
      <c r="A32" s="2" t="s">
        <v>288</v>
      </c>
      <c r="B32" s="2" t="s">
        <v>37</v>
      </c>
      <c r="C32" s="2" t="s">
        <v>315</v>
      </c>
      <c r="D32" s="4"/>
      <c r="E32" s="4" t="str">
        <f>IFERROR(__xludf.DUMMYFUNCTION("REGEXEXTRACT(C32,""(\(?\d{2}\)?\s?9?\d{4,5}-?\d{4})"")"),"32999994711")</f>
        <v>32999994711</v>
      </c>
      <c r="F32" s="2" t="s">
        <v>29</v>
      </c>
    </row>
    <row r="33" ht="15.75" customHeight="1">
      <c r="A33" s="2" t="s">
        <v>288</v>
      </c>
      <c r="B33" s="2" t="s">
        <v>55</v>
      </c>
      <c r="C33" s="2" t="s">
        <v>316</v>
      </c>
      <c r="D33" s="4"/>
      <c r="E33" s="4" t="str">
        <f>IFERROR(__xludf.DUMMYFUNCTION("REGEXEXTRACT(C33,""(\(?\d{2}\)?\s?9?\d{4,5}-?\d{4})"")"),"58999996244")</f>
        <v>58999996244</v>
      </c>
      <c r="F33" s="2" t="s">
        <v>29</v>
      </c>
    </row>
    <row r="34" ht="15.75" customHeight="1">
      <c r="A34" s="2" t="s">
        <v>303</v>
      </c>
      <c r="B34" s="2" t="s">
        <v>22</v>
      </c>
      <c r="C34" s="2" t="s">
        <v>317</v>
      </c>
      <c r="D34" s="4"/>
      <c r="E34" s="4" t="str">
        <f>IFERROR(__xludf.DUMMYFUNCTION("REGEXEXTRACT(C34,""(\(?\d{2}\)?\s?9?\d{4,5}-?\d{4})"")"),"83999992877")</f>
        <v>83999992877</v>
      </c>
      <c r="F34" s="2" t="s">
        <v>16</v>
      </c>
    </row>
    <row r="35" ht="15.75" customHeight="1">
      <c r="A35" s="2" t="s">
        <v>318</v>
      </c>
      <c r="B35" s="2" t="s">
        <v>22</v>
      </c>
      <c r="C35" s="2" t="s">
        <v>27</v>
      </c>
      <c r="D35" s="4"/>
      <c r="E35" s="4" t="str">
        <f>IFERROR(__xludf.DUMMYFUNCTION("REGEXEXTRACT(C35,""(\(?\d{2}\)?\s?9?\d{4,5}-?\d{4})"")"),"#N/A")</f>
        <v>#N/A</v>
      </c>
      <c r="F35" s="2" t="s">
        <v>26</v>
      </c>
    </row>
    <row r="36" ht="15.75" customHeight="1">
      <c r="A36" s="2" t="s">
        <v>295</v>
      </c>
      <c r="B36" s="2" t="s">
        <v>259</v>
      </c>
      <c r="C36" s="2" t="s">
        <v>319</v>
      </c>
      <c r="D36" s="4"/>
      <c r="E36" s="4" t="str">
        <f>IFERROR(__xludf.DUMMYFUNCTION("REGEXEXTRACT(C36,""(\(?\d{2}\)?\s?9?\d{4,5}-?\d{4})"")"),"30999999450")</f>
        <v>30999999450</v>
      </c>
      <c r="F36" s="2" t="s">
        <v>29</v>
      </c>
    </row>
    <row r="37" ht="15.75" customHeight="1">
      <c r="A37" s="2" t="s">
        <v>307</v>
      </c>
      <c r="B37" s="2" t="s">
        <v>259</v>
      </c>
      <c r="C37" s="2" t="s">
        <v>320</v>
      </c>
      <c r="D37" s="4"/>
      <c r="E37" s="4" t="str">
        <f>IFERROR(__xludf.DUMMYFUNCTION("REGEXEXTRACT(C37,""(\(?\d{2}\)?\s?9?\d{4,5}-?\d{4})"")"),"42999996152")</f>
        <v>42999996152</v>
      </c>
      <c r="F37" s="2" t="s">
        <v>6</v>
      </c>
    </row>
    <row r="38" ht="15.75" customHeight="1">
      <c r="A38" s="2" t="s">
        <v>288</v>
      </c>
      <c r="B38" s="2" t="s">
        <v>22</v>
      </c>
      <c r="C38" s="2" t="s">
        <v>321</v>
      </c>
      <c r="D38" s="4"/>
      <c r="E38" s="4" t="str">
        <f>IFERROR(__xludf.DUMMYFUNCTION("REGEXEXTRACT(C38,""(\(?\d{2}\)?\s?9?\d{4,5}-?\d{4})"")"),"40999995315")</f>
        <v>40999995315</v>
      </c>
      <c r="F38" s="2" t="s">
        <v>53</v>
      </c>
    </row>
    <row r="39" ht="15.75" customHeight="1">
      <c r="A39" s="2" t="s">
        <v>318</v>
      </c>
      <c r="B39" s="2" t="s">
        <v>22</v>
      </c>
      <c r="C39" s="2" t="s">
        <v>322</v>
      </c>
      <c r="D39" s="4"/>
      <c r="E39" s="4" t="str">
        <f>IFERROR(__xludf.DUMMYFUNCTION("REGEXEXTRACT(C39,""(\(?\d{2}\)?\s?9?\d{4,5}-?\d{4})"")"),"64999994875")</f>
        <v>64999994875</v>
      </c>
      <c r="F39" s="2" t="s">
        <v>16</v>
      </c>
    </row>
    <row r="40" ht="15.75" customHeight="1">
      <c r="A40" s="2" t="s">
        <v>290</v>
      </c>
      <c r="B40" s="2" t="s">
        <v>259</v>
      </c>
      <c r="C40" s="2" t="s">
        <v>323</v>
      </c>
      <c r="D40" s="4"/>
      <c r="E40" s="4" t="str">
        <f>IFERROR(__xludf.DUMMYFUNCTION("REGEXEXTRACT(C40,""(\(?\d{2}\)?\s?9?\d{4,5}-?\d{4})"")"),"91999993935")</f>
        <v>91999993935</v>
      </c>
      <c r="F40" s="2" t="s">
        <v>16</v>
      </c>
    </row>
    <row r="41" ht="15.75" customHeight="1">
      <c r="A41" s="2" t="s">
        <v>307</v>
      </c>
      <c r="B41" s="2" t="s">
        <v>37</v>
      </c>
      <c r="C41" s="2" t="s">
        <v>324</v>
      </c>
      <c r="D41" s="4"/>
      <c r="E41" s="4" t="str">
        <f>IFERROR(__xludf.DUMMYFUNCTION("REGEXEXTRACT(C41,""(\(?\d{2}\)?\s?9?\d{4,5}-?\d{4})"")"),"40999994211")</f>
        <v>40999994211</v>
      </c>
      <c r="F41" s="2" t="s">
        <v>6</v>
      </c>
    </row>
    <row r="42" ht="15.75" customHeight="1">
      <c r="A42" s="2" t="s">
        <v>303</v>
      </c>
      <c r="B42" s="2" t="s">
        <v>55</v>
      </c>
      <c r="C42" s="2" t="s">
        <v>325</v>
      </c>
      <c r="D42" s="4"/>
      <c r="E42" s="4" t="str">
        <f>IFERROR(__xludf.DUMMYFUNCTION("REGEXEXTRACT(C42,""(\(?\d{2}\)?\s?9?\d{4,5}-?\d{4})"")"),"82999996443")</f>
        <v>82999996443</v>
      </c>
      <c r="F42" s="2" t="s">
        <v>29</v>
      </c>
    </row>
    <row r="43" ht="15.75" customHeight="1">
      <c r="A43" s="2" t="s">
        <v>294</v>
      </c>
      <c r="B43" s="2" t="s">
        <v>98</v>
      </c>
      <c r="C43" s="2" t="s">
        <v>326</v>
      </c>
      <c r="D43" s="4"/>
      <c r="E43" s="4" t="str">
        <f>IFERROR(__xludf.DUMMYFUNCTION("REGEXEXTRACT(C43,""(\(?\d{2}\)?\s?9?\d{4,5}-?\d{4})"")"),"76999996250")</f>
        <v>76999996250</v>
      </c>
      <c r="F43" s="2" t="s">
        <v>29</v>
      </c>
    </row>
    <row r="44" ht="15.75" customHeight="1">
      <c r="A44" s="2" t="s">
        <v>294</v>
      </c>
      <c r="B44" s="2" t="s">
        <v>30</v>
      </c>
      <c r="C44" s="2" t="s">
        <v>299</v>
      </c>
      <c r="D44" s="4"/>
      <c r="E44" s="4" t="str">
        <f>IFERROR(__xludf.DUMMYFUNCTION("REGEXEXTRACT(C44,""(\(?\d{2}\)?\s?9?\d{4,5}-?\d{4})"")"),"#N/A")</f>
        <v>#N/A</v>
      </c>
      <c r="F44" s="2" t="s">
        <v>16</v>
      </c>
    </row>
    <row r="45" ht="15.75" customHeight="1">
      <c r="A45" s="2" t="s">
        <v>290</v>
      </c>
      <c r="B45" s="2" t="s">
        <v>22</v>
      </c>
      <c r="C45" s="2" t="s">
        <v>27</v>
      </c>
      <c r="D45" s="4"/>
      <c r="E45" s="4" t="str">
        <f>IFERROR(__xludf.DUMMYFUNCTION("REGEXEXTRACT(C45,""(\(?\d{2}\)?\s?9?\d{4,5}-?\d{4})"")"),"#N/A")</f>
        <v>#N/A</v>
      </c>
      <c r="F45" s="2" t="s">
        <v>50</v>
      </c>
    </row>
    <row r="46" ht="15.75" customHeight="1">
      <c r="A46" s="2" t="s">
        <v>307</v>
      </c>
      <c r="B46" s="2" t="s">
        <v>10</v>
      </c>
      <c r="C46" s="2" t="s">
        <v>293</v>
      </c>
      <c r="D46" s="4"/>
      <c r="E46" s="4" t="str">
        <f>IFERROR(__xludf.DUMMYFUNCTION("REGEXEXTRACT(C46,""(\(?\d{2}\)?\s?9?\d{4,5}-?\d{4})"")"),"#N/A")</f>
        <v>#N/A</v>
      </c>
      <c r="F46" s="2" t="s">
        <v>71</v>
      </c>
    </row>
    <row r="47" ht="15.75" customHeight="1">
      <c r="A47" s="2" t="s">
        <v>307</v>
      </c>
      <c r="B47" s="2" t="s">
        <v>166</v>
      </c>
      <c r="C47" s="2" t="s">
        <v>327</v>
      </c>
      <c r="D47" s="4"/>
      <c r="E47" s="4" t="str">
        <f>IFERROR(__xludf.DUMMYFUNCTION("REGEXEXTRACT(C47,""(\(?\d{2}\)?\s?9?\d{4,5}-?\d{4})"")"),"49999996648")</f>
        <v>49999996648</v>
      </c>
      <c r="F47" s="2" t="s">
        <v>71</v>
      </c>
    </row>
    <row r="48" ht="15.75" customHeight="1">
      <c r="A48" s="2" t="s">
        <v>290</v>
      </c>
      <c r="B48" s="2" t="s">
        <v>98</v>
      </c>
      <c r="C48" s="2" t="s">
        <v>328</v>
      </c>
      <c r="D48" s="4"/>
      <c r="E48" s="4" t="str">
        <f>IFERROR(__xludf.DUMMYFUNCTION("REGEXEXTRACT(C48,""(\(?\d{2}\)?\s?9?\d{4,5}-?\d{4})"")"),"#N/A")</f>
        <v>#N/A</v>
      </c>
      <c r="F48" s="2" t="s">
        <v>53</v>
      </c>
    </row>
    <row r="49" ht="15.75" customHeight="1">
      <c r="A49" s="2" t="s">
        <v>288</v>
      </c>
      <c r="B49" s="2" t="s">
        <v>30</v>
      </c>
      <c r="C49" s="2" t="s">
        <v>299</v>
      </c>
      <c r="D49" s="4"/>
      <c r="E49" s="4" t="str">
        <f>IFERROR(__xludf.DUMMYFUNCTION("REGEXEXTRACT(C49,""(\(?\d{2}\)?\s?9?\d{4,5}-?\d{4})"")"),"#N/A")</f>
        <v>#N/A</v>
      </c>
      <c r="F49" s="2" t="s">
        <v>29</v>
      </c>
    </row>
    <row r="50" ht="15.75" customHeight="1">
      <c r="A50" s="2" t="s">
        <v>318</v>
      </c>
      <c r="B50" s="2" t="s">
        <v>166</v>
      </c>
      <c r="C50" s="2" t="s">
        <v>329</v>
      </c>
      <c r="D50" s="4"/>
      <c r="E50" s="4" t="str">
        <f>IFERROR(__xludf.DUMMYFUNCTION("REGEXEXTRACT(C50,""(\(?\d{2}\)?\s?9?\d{4,5}-?\d{4})"")"),"46999991100")</f>
        <v>46999991100</v>
      </c>
      <c r="F50" s="2" t="s">
        <v>53</v>
      </c>
    </row>
    <row r="51" ht="15.75" customHeight="1">
      <c r="A51" s="2" t="s">
        <v>318</v>
      </c>
      <c r="B51" s="2" t="s">
        <v>37</v>
      </c>
      <c r="C51" s="2" t="s">
        <v>330</v>
      </c>
      <c r="D51" s="4"/>
      <c r="E51" s="4" t="str">
        <f>IFERROR(__xludf.DUMMYFUNCTION("REGEXEXTRACT(C51,""(\(?\d{2}\)?\s?9?\d{4,5}-?\d{4})"")"),"33999994294")</f>
        <v>33999994294</v>
      </c>
      <c r="F51" s="2" t="s">
        <v>6</v>
      </c>
    </row>
    <row r="52" ht="15.75" customHeight="1">
      <c r="A52" s="2" t="s">
        <v>310</v>
      </c>
      <c r="B52" s="2" t="s">
        <v>19</v>
      </c>
      <c r="C52" s="2" t="s">
        <v>82</v>
      </c>
      <c r="D52" s="4"/>
      <c r="E52" s="4" t="str">
        <f>IFERROR(__xludf.DUMMYFUNCTION("REGEXEXTRACT(C52,""(\(?\d{2}\)?\s?9?\d{4,5}-?\d{4})"")"),"#N/A")</f>
        <v>#N/A</v>
      </c>
      <c r="F52" s="2" t="s">
        <v>26</v>
      </c>
    </row>
    <row r="53" ht="15.75" customHeight="1">
      <c r="A53" s="2" t="s">
        <v>283</v>
      </c>
      <c r="B53" s="2" t="s">
        <v>10</v>
      </c>
      <c r="C53" s="2" t="s">
        <v>293</v>
      </c>
      <c r="D53" s="4"/>
      <c r="E53" s="4" t="str">
        <f>IFERROR(__xludf.DUMMYFUNCTION("REGEXEXTRACT(C53,""(\(?\d{2}\)?\s?9?\d{4,5}-?\d{4})"")"),"#N/A")</f>
        <v>#N/A</v>
      </c>
      <c r="F53" s="2" t="s">
        <v>29</v>
      </c>
    </row>
    <row r="54" ht="15.75" customHeight="1">
      <c r="A54" s="2" t="s">
        <v>307</v>
      </c>
      <c r="B54" s="2" t="s">
        <v>166</v>
      </c>
      <c r="C54" s="2" t="s">
        <v>183</v>
      </c>
      <c r="D54" s="4"/>
      <c r="E54" s="4" t="str">
        <f>IFERROR(__xludf.DUMMYFUNCTION("REGEXEXTRACT(C54,""(\(?\d{2}\)?\s?9?\d{4,5}-?\d{4})"")"),"#N/A")</f>
        <v>#N/A</v>
      </c>
      <c r="F54" s="2" t="s">
        <v>26</v>
      </c>
    </row>
    <row r="55" ht="15.75" customHeight="1">
      <c r="A55" s="2" t="s">
        <v>288</v>
      </c>
      <c r="B55" s="2" t="s">
        <v>166</v>
      </c>
      <c r="C55" s="2" t="s">
        <v>183</v>
      </c>
      <c r="D55" s="4"/>
      <c r="E55" s="4" t="str">
        <f>IFERROR(__xludf.DUMMYFUNCTION("REGEXEXTRACT(C55,""(\(?\d{2}\)?\s?9?\d{4,5}-?\d{4})"")"),"#N/A")</f>
        <v>#N/A</v>
      </c>
      <c r="F55" s="2" t="s">
        <v>6</v>
      </c>
    </row>
    <row r="56" ht="15.75" customHeight="1">
      <c r="A56" s="2" t="s">
        <v>288</v>
      </c>
      <c r="B56" s="2" t="s">
        <v>37</v>
      </c>
      <c r="C56" s="2" t="s">
        <v>331</v>
      </c>
      <c r="D56" s="4"/>
      <c r="E56" s="4" t="str">
        <f>IFERROR(__xludf.DUMMYFUNCTION("REGEXEXTRACT(C56,""(\(?\d{2}\)?\s?9?\d{4,5}-?\d{4})"")"),"48999995144")</f>
        <v>48999995144</v>
      </c>
      <c r="F56" s="2" t="s">
        <v>50</v>
      </c>
    </row>
    <row r="57" ht="15.75" customHeight="1">
      <c r="A57" s="2" t="s">
        <v>281</v>
      </c>
      <c r="B57" s="2" t="s">
        <v>166</v>
      </c>
      <c r="C57" s="2" t="s">
        <v>183</v>
      </c>
      <c r="D57" s="4"/>
      <c r="E57" s="4" t="str">
        <f>IFERROR(__xludf.DUMMYFUNCTION("REGEXEXTRACT(C57,""(\(?\d{2}\)?\s?9?\d{4,5}-?\d{4})"")"),"#N/A")</f>
        <v>#N/A</v>
      </c>
      <c r="F57" s="2" t="s">
        <v>53</v>
      </c>
    </row>
    <row r="58" ht="15.75" customHeight="1">
      <c r="A58" s="2" t="s">
        <v>310</v>
      </c>
      <c r="B58" s="2" t="s">
        <v>98</v>
      </c>
      <c r="C58" s="2" t="s">
        <v>328</v>
      </c>
      <c r="D58" s="4"/>
      <c r="E58" s="4" t="str">
        <f>IFERROR(__xludf.DUMMYFUNCTION("REGEXEXTRACT(C58,""(\(?\d{2}\)?\s?9?\d{4,5}-?\d{4})"")"),"#N/A")</f>
        <v>#N/A</v>
      </c>
      <c r="F58" s="2" t="s">
        <v>50</v>
      </c>
    </row>
    <row r="59" ht="15.75" customHeight="1">
      <c r="A59" s="2" t="s">
        <v>310</v>
      </c>
      <c r="B59" s="2" t="s">
        <v>22</v>
      </c>
      <c r="C59" s="2" t="s">
        <v>332</v>
      </c>
      <c r="D59" s="4"/>
      <c r="E59" s="4" t="str">
        <f>IFERROR(__xludf.DUMMYFUNCTION("REGEXEXTRACT(C59,""(\(?\d{2}\)?\s?9?\d{4,5}-?\d{4})"")"),"73999998155")</f>
        <v>73999998155</v>
      </c>
      <c r="F59" s="2" t="s">
        <v>29</v>
      </c>
    </row>
    <row r="60" ht="15.75" customHeight="1">
      <c r="A60" s="2" t="s">
        <v>303</v>
      </c>
      <c r="B60" s="2" t="s">
        <v>30</v>
      </c>
      <c r="C60" s="2" t="s">
        <v>299</v>
      </c>
      <c r="D60" s="4"/>
      <c r="E60" s="4" t="str">
        <f>IFERROR(__xludf.DUMMYFUNCTION("REGEXEXTRACT(C60,""(\(?\d{2}\)?\s?9?\d{4,5}-?\d{4})"")"),"#N/A")</f>
        <v>#N/A</v>
      </c>
      <c r="F60" s="2" t="s">
        <v>53</v>
      </c>
    </row>
    <row r="61" ht="15.75" customHeight="1">
      <c r="A61" s="2" t="s">
        <v>307</v>
      </c>
      <c r="B61" s="2" t="s">
        <v>55</v>
      </c>
      <c r="C61" s="2" t="s">
        <v>60</v>
      </c>
      <c r="D61" s="4"/>
      <c r="E61" s="4" t="str">
        <f>IFERROR(__xludf.DUMMYFUNCTION("REGEXEXTRACT(C61,""(\(?\d{2}\)?\s?9?\d{4,5}-?\d{4})"")"),"#N/A")</f>
        <v>#N/A</v>
      </c>
      <c r="F61" s="2" t="s">
        <v>71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